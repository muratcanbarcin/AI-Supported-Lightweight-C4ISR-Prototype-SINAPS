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B\Desktop\Yazılım\Github\AI-Supported-Lightweight-C4ISR-Prototype-SINAPS\"/>
    </mc:Choice>
  </mc:AlternateContent>
  <xr:revisionPtr revIDLastSave="0" documentId="11_2412FCFF0BDD30CEBA741D983C3A8A4A42F7D349" xr6:coauthVersionLast="47" xr6:coauthVersionMax="47" xr10:uidLastSave="{00000000-0000-0000-0000-000000000000}"/>
  <bookViews>
    <workbookView xWindow="-110" yWindow="-110" windowWidth="25820" windowHeight="14020" firstSheet="1" activeTab="2" xr2:uid="{00000000-000D-0000-FFFF-FFFF00000000}"/>
  </bookViews>
  <sheets>
    <sheet name="ÖZET" sheetId="1" r:id="rId1"/>
    <sheet name="1-Auth &amp; Security" sheetId="2" r:id="rId2"/>
    <sheet name="2-Asset Management" sheetId="3" r:id="rId3"/>
    <sheet name="3-Telemetry" sheetId="4" r:id="rId4"/>
    <sheet name="4-Tactical Zones" sheetId="5" r:id="rId5"/>
    <sheet name="5-Tasks &amp; Deploy" sheetId="6" r:id="rId6"/>
    <sheet name="6-Alerts &amp; Analysis" sheetId="7" r:id="rId7"/>
    <sheet name="7-AI Service" sheetId="8" r:id="rId8"/>
    <sheet name="8-Chat Sessions" sheetId="9" r:id="rId9"/>
    <sheet name="9-Admin Panel" sheetId="10" r:id="rId10"/>
    <sheet name="10-System Logs" sheetId="11" r:id="rId11"/>
    <sheet name="11-Frontend UI" sheetId="12" r:id="rId12"/>
    <sheet name="12-Sim &amp; Integration" sheetId="13" r:id="rId13"/>
  </sheets>
  <definedNames>
    <definedName name="_xlnm._FilterDatabase" localSheetId="10" hidden="1">'10-System Logs'!$A$1:$L$6</definedName>
    <definedName name="_xlnm._FilterDatabase" localSheetId="11" hidden="1">'11-Frontend UI'!$A$1:$L$26</definedName>
    <definedName name="_xlnm._FilterDatabase" localSheetId="12" hidden="1">'12-Sim &amp; Integration'!$A$1:$L$15</definedName>
    <definedName name="_xlnm._FilterDatabase" localSheetId="1" hidden="1">'1-Auth &amp; Security'!$A$1:$L$17</definedName>
    <definedName name="_xlnm._FilterDatabase" localSheetId="2" hidden="1">'2-Asset Management'!$A$1:$L$16</definedName>
    <definedName name="_xlnm._FilterDatabase" localSheetId="3" hidden="1">'3-Telemetry'!$A$1:$L$10</definedName>
    <definedName name="_xlnm._FilterDatabase" localSheetId="4" hidden="1">'4-Tactical Zones'!$A$1:$L$7</definedName>
    <definedName name="_xlnm._FilterDatabase" localSheetId="5" hidden="1">'5-Tasks &amp; Deploy'!$A$1:$L$9</definedName>
    <definedName name="_xlnm._FilterDatabase" localSheetId="6" hidden="1">'6-Alerts &amp; Analysis'!$A$1:$L$12</definedName>
    <definedName name="_xlnm._FilterDatabase" localSheetId="7" hidden="1">'7-AI Service'!$A$1:$L$16</definedName>
    <definedName name="_xlnm._FilterDatabase" localSheetId="8" hidden="1">'8-Chat Sessions'!$A$1:$L$10</definedName>
    <definedName name="_xlnm._FilterDatabase" localSheetId="9" hidden="1">'9-Admin Panel'!$A$1:$L$9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G14" i="1" s="1"/>
</calcChain>
</file>

<file path=xl/sharedStrings.xml><?xml version="1.0" encoding="utf-8"?>
<sst xmlns="http://schemas.openxmlformats.org/spreadsheetml/2006/main" count="1065" uniqueCount="644">
  <si>
    <t>Sheet</t>
  </si>
  <si>
    <t>Modül</t>
  </si>
  <si>
    <t>Toplam Test</t>
  </si>
  <si>
    <t>Başarılı</t>
  </si>
  <si>
    <t>Başarısız</t>
  </si>
  <si>
    <t>Atlanmış</t>
  </si>
  <si>
    <t>Oran (%)</t>
  </si>
  <si>
    <t>1-Auth &amp; Security</t>
  </si>
  <si>
    <t>Kimlik Doğrulama &amp; Güvenlik</t>
  </si>
  <si>
    <t>2-Asset Management</t>
  </si>
  <si>
    <t>Varlık Yönetimi</t>
  </si>
  <si>
    <t>3-Telemetry</t>
  </si>
  <si>
    <t>Telemetri</t>
  </si>
  <si>
    <t>4-Tactical Zones</t>
  </si>
  <si>
    <t>Taktik Bölgeler</t>
  </si>
  <si>
    <t>5-Tasks &amp; Deploy</t>
  </si>
  <si>
    <t>Görevler &amp; Konuşlandırma</t>
  </si>
  <si>
    <t>6-Alerts &amp; Analysis</t>
  </si>
  <si>
    <t>Alarmlar &amp; Analiz</t>
  </si>
  <si>
    <t>7-AI Service</t>
  </si>
  <si>
    <t>Yapay Zeka Servisi</t>
  </si>
  <si>
    <t>8-Chat Sessions</t>
  </si>
  <si>
    <t>Sohbet Oturumları</t>
  </si>
  <si>
    <t>9-Admin Panel</t>
  </si>
  <si>
    <t>Admin Paneli</t>
  </si>
  <si>
    <t>10-System Logs</t>
  </si>
  <si>
    <t>Sistem Logları</t>
  </si>
  <si>
    <t>11-Frontend UI</t>
  </si>
  <si>
    <t>Frontend Arayüzü</t>
  </si>
  <si>
    <t>12-Sim &amp; Integration</t>
  </si>
  <si>
    <t>Simülasyon &amp; Entegrasyon</t>
  </si>
  <si>
    <t>TOPLAM</t>
  </si>
  <si>
    <t>Proje:</t>
  </si>
  <si>
    <t>SINAPS C4ISR Prototype</t>
  </si>
  <si>
    <t>Oluşturulma:</t>
  </si>
  <si>
    <t>2026-04-10 11:04</t>
  </si>
  <si>
    <t>Sürüm:</t>
  </si>
  <si>
    <t>1.0</t>
  </si>
  <si>
    <t>Test ID</t>
  </si>
  <si>
    <t>Alt Modül</t>
  </si>
  <si>
    <t>Test Senaryosu</t>
  </si>
  <si>
    <t>Ön Koşullar</t>
  </si>
  <si>
    <t>Test Adımları</t>
  </si>
  <si>
    <t>Beklenen Sonuç</t>
  </si>
  <si>
    <t>Öncelik</t>
  </si>
  <si>
    <t>Sonuç</t>
  </si>
  <si>
    <t>Notlar / Hata Detayı</t>
  </si>
  <si>
    <t>Test Eden</t>
  </si>
  <si>
    <t>Tarih</t>
  </si>
  <si>
    <t>1. KULLANICI GİRİŞİ (LOGIN)</t>
  </si>
  <si>
    <t>AUTH-001</t>
  </si>
  <si>
    <t>Auth</t>
  </si>
  <si>
    <t>Login</t>
  </si>
  <si>
    <t>Geçerli kullanıcı adı ve şifre ile giriş</t>
  </si>
  <si>
    <t>- Veritabanında kayıtlı kullanıcı mevcut
- Backend çalışıyor</t>
  </si>
  <si>
    <t>1. POST /api/v1/auth/login
2. Body: {"username": "admin", "password": "admin123"}
3. Response'u kontrol et</t>
  </si>
  <si>
    <t>200 OK
JWT token, username ve role döner</t>
  </si>
  <si>
    <t>KRİTİK</t>
  </si>
  <si>
    <t>AUTH-002</t>
  </si>
  <si>
    <t>Yanlış şifre ile giriş denemesi</t>
  </si>
  <si>
    <t>- Kayıtlı kullanıcı mevcut</t>
  </si>
  <si>
    <t>1. POST /api/v1/auth/login
2. Body: {"username": "admin", "password": "wrongpass"}</t>
  </si>
  <si>
    <t>401 Unauthorized
"Invalid credentials" mesajı</t>
  </si>
  <si>
    <t>AUTH-003</t>
  </si>
  <si>
    <t>Var olmayan kullanıcı ile giriş</t>
  </si>
  <si>
    <t>- Backend çalışıyor</t>
  </si>
  <si>
    <t>1. POST /api/v1/auth/login
2. Body: {"username": "nonexistent", "password": "test"}</t>
  </si>
  <si>
    <t>401 Unauthorized</t>
  </si>
  <si>
    <t>YÜKSEK</t>
  </si>
  <si>
    <t>AUTH-004</t>
  </si>
  <si>
    <t>Boş username/password ile giriş</t>
  </si>
  <si>
    <t>1. POST /api/v1/auth/login
2. Body: {"username": "", "password": ""}</t>
  </si>
  <si>
    <t>401 Unauthorized veya 400 Bad Request</t>
  </si>
  <si>
    <t>ORTA</t>
  </si>
  <si>
    <t>2. JWT TOKEN YÖNETİMİ</t>
  </si>
  <si>
    <t>AUTH-005</t>
  </si>
  <si>
    <t>JWT</t>
  </si>
  <si>
    <t>JWT token ile korumalı endpoint'e erişim</t>
  </si>
  <si>
    <t>- Geçerli JWT token alınmış</t>
  </si>
  <si>
    <t>1. GET /api/v1/admin/users
2. Header: Authorization: Bearer &lt;token&gt;
3. Response'u kontrol et</t>
  </si>
  <si>
    <t>200 OK
Kullanıcı listesi döner</t>
  </si>
  <si>
    <t>AUTH-006</t>
  </si>
  <si>
    <t>Token olmadan korumalı endpoint'e erişim</t>
  </si>
  <si>
    <t>1. GET /api/v1/admin/users
2. Authorization header göndermeden istek at</t>
  </si>
  <si>
    <t>401 Unauthorized veya 403 Forbidden</t>
  </si>
  <si>
    <t>AUTH-007</t>
  </si>
  <si>
    <t>Süresi dolmuş (expired) JWT ile erişim</t>
  </si>
  <si>
    <t>- Expired JWT token mevcut</t>
  </si>
  <si>
    <t>1. GET /api/v1/admin/users
2. Header: Authorization: Bearer &lt;expired_token&gt;</t>
  </si>
  <si>
    <t>AUTH-008</t>
  </si>
  <si>
    <t>Geçersiz (manipüle edilmiş) JWT ile erişim</t>
  </si>
  <si>
    <t>- Bozulmuş JWT token</t>
  </si>
  <si>
    <t>1. GET /api/v1/admin/users
2. Header: Authorization: Bearer invalid.token.here</t>
  </si>
  <si>
    <t>3. ROL TABANLI ERİŞİM KONTROLÜ (RBAC)</t>
  </si>
  <si>
    <t>AUTH-009</t>
  </si>
  <si>
    <t>RBAC</t>
  </si>
  <si>
    <t>KARARGAH_ADMIN rolü ile admin endpoint'e erişim</t>
  </si>
  <si>
    <t>- KARARGAH_ADMIN rolündeki kullanıcı ile giriş yapılmış</t>
  </si>
  <si>
    <t>1. GET /api/v1/admin/users
2. KARARGAH_ADMIN token ile istek at</t>
  </si>
  <si>
    <t>200 OK
Tüm kullanıcılar listelenir</t>
  </si>
  <si>
    <t>AUTH-010</t>
  </si>
  <si>
    <t>HAREKAT_SUBAYI rolü ile admin endpoint'e erişim (yetkisiz)</t>
  </si>
  <si>
    <t>- HAREKAT_SUBAYI rolündeki kullanıcı ile giriş</t>
  </si>
  <si>
    <t>1. GET /api/v1/admin/users
2. HAREKAT_SUBAYI token ile istek at</t>
  </si>
  <si>
    <t>403 Forbidden</t>
  </si>
  <si>
    <t>AUTH-011</t>
  </si>
  <si>
    <t>HAREKAT_SUBAYI sadece kendi zone'undaki asset'leri görebilmeli</t>
  </si>
  <si>
    <t>- HAREKAT_SUBAYI kullanıcı assignedZoneId ile tanımlı
- Birden fazla zone ve asset mevcut</t>
  </si>
  <si>
    <t>1. HAREKAT_SUBAYI token ile GET /api/v1/assets
2. Dönen asset listesinin tamamının assignedZoneId'ye ait olduğunu doğrula</t>
  </si>
  <si>
    <t>Sadece atanmış zone'a ait asset'ler döner
Diğer zone'ların asset'leri görünmez</t>
  </si>
  <si>
    <t>AUTH-012</t>
  </si>
  <si>
    <t>ORDU_KOMUTANI rolü ile asset listeleme</t>
  </si>
  <si>
    <t>- ORDU_KOMUTANI rolündeki kullanıcı ile giriş</t>
  </si>
  <si>
    <t>1. GET /api/v1/assets
2. ORDU_KOMUTANI token ile istek at</t>
  </si>
  <si>
    <t>Atanmış zone dahilindeki asset'ler döner</t>
  </si>
  <si>
    <t>AUTH-013</t>
  </si>
  <si>
    <t>HAREKAT_SUBAYI ile asset oluşturma denemesi (yetkisiz)</t>
  </si>
  <si>
    <t>- HAREKAT_SUBAYI token hazır</t>
  </si>
  <si>
    <t>1. POST /api/v1/assets
2. HAREKAT_SUBAYI token ile asset oluşturma body gönder</t>
  </si>
  <si>
    <t>403 Forbidden
Sadece KARARGAH_ADMIN oluşturabilir</t>
  </si>
  <si>
    <t>4. ASSET LİSTELEME</t>
  </si>
  <si>
    <t>AST-001</t>
  </si>
  <si>
    <t>Asset</t>
  </si>
  <si>
    <t>Listeleme</t>
  </si>
  <si>
    <t>Tüm asset'leri listeleme (Admin)</t>
  </si>
  <si>
    <t>- KARARGAH_ADMIN ile giriş
- DB'de asset kayıtları var</t>
  </si>
  <si>
    <t>1. GET /api/v1/assets
2. Authorization header ekle
3. Response kontrol et</t>
  </si>
  <si>
    <t>200 OK
JSON array döner
Her asset: id, name, type, inventoryStatus, isSimulated alanları içerir</t>
  </si>
  <si>
    <t>AST-002</t>
  </si>
  <si>
    <t>Boş veritabanında asset listeleme</t>
  </si>
  <si>
    <t>- DB'de asset yok
- Admin girişi yapılmış</t>
  </si>
  <si>
    <t>1. GET /api/v1/assets</t>
  </si>
  <si>
    <t>200 OK
Boş JSON array [] döner</t>
  </si>
  <si>
    <t>5. ASSET OLUŞTURMA (CRUD)</t>
  </si>
  <si>
    <t>AST-003</t>
  </si>
  <si>
    <t>Oluşturma</t>
  </si>
  <si>
    <t>Yeni asset oluşturma (tüm alanlar dolu)</t>
  </si>
  <si>
    <t>- KARARGAH_ADMIN ile giriş
- Geçerli lat/lon değerleri</t>
  </si>
  <si>
    <t>1. POST /api/v1/assets
2. Body: {
  "id": "TEST-DRONE-01",
  "type": "DRONE",
  "latitude": 39.95,
  "longitude": 32.85,
  "isSimulated": true,
  "assignedZoneId": "&lt;zone-uuid&gt;"
}
3. Response kontrol et</t>
  </si>
  <si>
    <t>200 OK
Oluşturulan asset JSON döner
Otomatik telemetry kaydı oluşur</t>
  </si>
  <si>
    <t>AST-004</t>
  </si>
  <si>
    <t>ID olmadan asset oluşturma denemesi</t>
  </si>
  <si>
    <t>- KARARGAH_ADMIN ile giriş</t>
  </si>
  <si>
    <t>1. POST /api/v1/assets
2. Body: {"type": "DRONE", "latitude": 39.95, "longitude": 32.85}</t>
  </si>
  <si>
    <t>400 Bad Request
"id is required" hata mesajı</t>
  </si>
  <si>
    <t>AST-005</t>
  </si>
  <si>
    <t>Koordinat olmadan asset oluşturma</t>
  </si>
  <si>
    <t>1. POST /api/v1/assets
2. Body: {"id": "TEST-001", "type": "VEHICLE"}</t>
  </si>
  <si>
    <t>400 Bad Request
"latitude/longitude are required" mesajı</t>
  </si>
  <si>
    <t>AST-006</t>
  </si>
  <si>
    <t>Aynı isimde asset oluşturma (duplicate)</t>
  </si>
  <si>
    <t>- Aynı name ile bir asset zaten mevcut</t>
  </si>
  <si>
    <t>1. POST /api/v1/assets
2. Mevcut asset name ile body gönder</t>
  </si>
  <si>
    <t>400 Bad Request
"Asset id already exists" mesajı</t>
  </si>
  <si>
    <t>AST-007</t>
  </si>
  <si>
    <t>Tüm asset tiplerini oluşturma (DRONE, VEHICLE, SOLDIER, SENSOR)</t>
  </si>
  <si>
    <t>1. Her tip için ayrı POST /api/v1/assets isteği gönder
2. Her birinin başarılı oluştuğunu doğrula</t>
  </si>
  <si>
    <t>Her tip için 200 OK
Tip alanı doğru kaydedilir</t>
  </si>
  <si>
    <t>6. ASSET SİLME</t>
  </si>
  <si>
    <t>AST-008</t>
  </si>
  <si>
    <t>Silme</t>
  </si>
  <si>
    <t>Mevcut asset'i silme</t>
  </si>
  <si>
    <t>- KARARGAH_ADMIN ile giriş
- Silinecek asset mevcut</t>
  </si>
  <si>
    <t>1. DELETE /api/v1/assets/{id}
2. GET ile asset'in silindiğini doğrula</t>
  </si>
  <si>
    <t>200 OK
Asset ve ilişkili telemetry/task kayıtları silinir</t>
  </si>
  <si>
    <t>AST-009</t>
  </si>
  <si>
    <t>Var olmayan asset'i silme</t>
  </si>
  <si>
    <t>1. DELETE /api/v1/assets/NON-EXISTENT-ID</t>
  </si>
  <si>
    <t>400 Bad Request
"Asset not found" mesajı</t>
  </si>
  <si>
    <t>7. ACİL DURDURMA (EMERGENCY STOP)</t>
  </si>
  <si>
    <t>AST-010</t>
  </si>
  <si>
    <t>Emergency Stop</t>
  </si>
  <si>
    <t>Asset'e acil durdurma komutu gönderme</t>
  </si>
  <si>
    <t>- Aktif telemetry verisi olan bir asset mevcut</t>
  </si>
  <si>
    <t>1. POST /api/v1/assets/{id}/emergency-stop
2. Response kontrol et
3. Asset'in son telemetry payload'ını kontrol et</t>
  </si>
  <si>
    <t>200 OK
{"success": true}
Telemetry payload'da status: STOPPED
system_logs tablosunda EMERGENCY_STOP kaydı</t>
  </si>
  <si>
    <t>AST-011</t>
  </si>
  <si>
    <t>Telemetrisi olmayan asset'e emergency stop</t>
  </si>
  <si>
    <t>- Telemetrisi olmayan asset mevcut</t>
  </si>
  <si>
    <t>1. POST /api/v1/assets/{id}/emergency-stop</t>
  </si>
  <si>
    <t>200 OK
Başarılı (sadece system_logs kaydı oluşur)</t>
  </si>
  <si>
    <t>8. TELEMETRİ SORGULAMA</t>
  </si>
  <si>
    <t>TLM-001</t>
  </si>
  <si>
    <t>Telemetry</t>
  </si>
  <si>
    <t>Latest</t>
  </si>
  <si>
    <t>En güncel telemetri verilerini çekme</t>
  </si>
  <si>
    <t>- Simülasyon çalışıyor
- Telemetry tablosunda veri var</t>
  </si>
  <si>
    <t>1. GET /api/v1/telemetry/latest
2. Response JSON array kontrol et</t>
  </si>
  <si>
    <t>200 OK
Her asset için en son telemetry kaydı
latitude, longitude, speed, batteryLevel, sourceId, sourceType alanları</t>
  </si>
  <si>
    <t>TLM-002</t>
  </si>
  <si>
    <t>History</t>
  </si>
  <si>
    <t>Telemetri geçmişini çekme</t>
  </si>
  <si>
    <t>- Telemetry tablosunda geçmiş veriler var</t>
  </si>
  <si>
    <t>1. GET /api/v1/telemetry/history
2. Response kontrol et</t>
  </si>
  <si>
    <t>200 OK
Tüm geçmiş telemetry kayıtları döner</t>
  </si>
  <si>
    <t>9. TELEMETRİ EKLEME</t>
  </si>
  <si>
    <t>TLM-003</t>
  </si>
  <si>
    <t>Ingest</t>
  </si>
  <si>
    <t>Tek telemetri verisi gönderme (POST)</t>
  </si>
  <si>
    <t>1. POST /api/v1/telemetry
2. Body: {"domain":"drone", "type":"telemetry", "id":"DRONE-TEST", "time":"...", "payload":{"position":{"lat":39.95,"lon":32.60,"alt_m":150},"ground_speed_mps":25.5,"battery":{"soc_pct":85}}}</t>
  </si>
  <si>
    <t>200 OK
{"status": "OK"}
Veri telemetry tablosuna kaydedilir</t>
  </si>
  <si>
    <t>TLM-004</t>
  </si>
  <si>
    <t>Batch telemetri gönderme</t>
  </si>
  <si>
    <t>1. POST /api/v1/telemetry/batch
2. Body: JSON array (birden fazla telemetri kaydı)</t>
  </si>
  <si>
    <t>200 OK
"Processed N telemetry records" mesajı</t>
  </si>
  <si>
    <t>TLM-005</t>
  </si>
  <si>
    <t>Geçersiz format ile telemetri gönderme</t>
  </si>
  <si>
    <t>1. POST /api/v1/telemetry
2. Body: {"invalid": "data"}</t>
  </si>
  <si>
    <t>400 Bad Request
Hata mesajı döner</t>
  </si>
  <si>
    <t>10. TELEMETRİ HARİTA POLLING</t>
  </si>
  <si>
    <t>TLM-006</t>
  </si>
  <si>
    <t>Polling</t>
  </si>
  <si>
    <t>3 saniyede bir /telemetry/latest pollingi</t>
  </si>
  <si>
    <t>- Frontend harita sayfası açık
- Simülasyon çalışıyor</t>
  </si>
  <si>
    <t>1. Network tab'ında /telemetry/latest isteklerini izle
2. Her 3 saniyede bir istek atıldığını doğrula
3. Konum verilerinin güncellendiğini kontrol et</t>
  </si>
  <si>
    <t>Düzenli aralıklarla veri çekiliyor
Harita üzerinde birimler güncelleniyor</t>
  </si>
  <si>
    <t>11. TAKTİK BÖLGE YÖNETİMİ</t>
  </si>
  <si>
    <t>ZON-001</t>
  </si>
  <si>
    <t>Zones</t>
  </si>
  <si>
    <t>Tüm taktik bölgeleri listeleme</t>
  </si>
  <si>
    <t>- DB'de zone kayıtları var</t>
  </si>
  <si>
    <t>1. GET /api/v1/zones
2. Response kontrol et</t>
  </si>
  <si>
    <t>200 OK
Her zone: id (UUID), name, zoneType, latitude, longitude, radiusMeters</t>
  </si>
  <si>
    <t>ZON-002</t>
  </si>
  <si>
    <t>Yeni taktik bölge oluşturma</t>
  </si>
  <si>
    <t>1. POST /api/v1/zones
2. Body: {"name":"Test Bölgesi", "zoneType":"AO", "latitude":39.95, "longitude":32.85, "radiusMeters":5000}</t>
  </si>
  <si>
    <t>200 OK
Oluşturulan zone UUID ile döner</t>
  </si>
  <si>
    <t>ZON-003</t>
  </si>
  <si>
    <t>Güncelleme</t>
  </si>
  <si>
    <t>Taktik bölge güncelleme</t>
  </si>
  <si>
    <t>- KARARGAH_ADMIN ile giriş
- Mevcut zone var</t>
  </si>
  <si>
    <t>1. PUT /api/v1/zones/{id}
2. Güncellenmiş body gönder</t>
  </si>
  <si>
    <t>200 OK
Güncellenmiş zone döner</t>
  </si>
  <si>
    <t>ZON-004</t>
  </si>
  <si>
    <t>Taktik bölge silme</t>
  </si>
  <si>
    <t>- KARARGAH_ADMIN ile giriş
- Silinecek zone mevcut</t>
  </si>
  <si>
    <t>1. DELETE /api/v1/zones/{id}
2. GET ile silindiğini doğrula</t>
  </si>
  <si>
    <t>200 OK
Zone silinir</t>
  </si>
  <si>
    <t>ZON-005</t>
  </si>
  <si>
    <t>HAREKAT_SUBAYI ile zone oluşturma denemesi</t>
  </si>
  <si>
    <t>- HAREKAT_SUBAYI ile giriş</t>
  </si>
  <si>
    <t>1. POST /api/v1/zones
2. HAREKAT_SUBAYI token ile gönder</t>
  </si>
  <si>
    <t>12. GÖREV YÖNETİMİ (TASKS)</t>
  </si>
  <si>
    <t>TSK-001</t>
  </si>
  <si>
    <t>Tasks</t>
  </si>
  <si>
    <t>Tüm görevleri listeleme</t>
  </si>
  <si>
    <t>- Task kayıtları mevcut</t>
  </si>
  <si>
    <t>1. GET /api/v1/tasks</t>
  </si>
  <si>
    <t>200 OK
Görev listesi (id, assetId, title, status, taskType, zoneName)</t>
  </si>
  <si>
    <t>TSK-002</t>
  </si>
  <si>
    <t>Asset ID'ye göre görev filtreleme</t>
  </si>
  <si>
    <t>- Belirli asset'e ait görevler var</t>
  </si>
  <si>
    <t>1. GET /api/v1/tasks?assetId=DRONE-001</t>
  </si>
  <si>
    <t>200 OK
Sadece ilgili asset'in görevleri döner</t>
  </si>
  <si>
    <t>TSK-003</t>
  </si>
  <si>
    <t>Yeni görev oluşturma</t>
  </si>
  <si>
    <t>1. POST /api/v1/tasks
2. Body: {"assetId":"DRONE-001", "title":"Keşif Görevi", "description":"Bölge keşfi"}</t>
  </si>
  <si>
    <t>200 OK
Status otomatik PENDING olur</t>
  </si>
  <si>
    <t>13. KONUŞLANDIRMA (DEPLOY)</t>
  </si>
  <si>
    <t>TSK-004</t>
  </si>
  <si>
    <t>Deploy</t>
  </si>
  <si>
    <t>Asset'i taktik bölgeye konuşlandırma</t>
  </si>
  <si>
    <t>- Mevcut asset ve zone kaydı var</t>
  </si>
  <si>
    <t>1. POST /api/v1/tasks/deploy
2. Body: {"assetId":"DRONE-001", "zoneId":"&lt;zone-uuid&gt;"}</t>
  </si>
  <si>
    <t>200 OK
Deploy task oluşur
Asset zone'a doğru hareket etmeye başlar</t>
  </si>
  <si>
    <t>TSK-005</t>
  </si>
  <si>
    <t>Geçersiz zone ID ile deploy denemesi</t>
  </si>
  <si>
    <t>- Mevcut asset var
- Geçersiz zone UUID</t>
  </si>
  <si>
    <t>1. POST /api/v1/tasks/deploy
2. Body: {"assetId":"DRONE-001", "zoneId":"invalid-uuid"}</t>
  </si>
  <si>
    <t>TSK-006</t>
  </si>
  <si>
    <t>Var olmayan asset ile deploy denemesi</t>
  </si>
  <si>
    <t>- Geçerli zone mevcut</t>
  </si>
  <si>
    <t>1. POST /api/v1/tasks/deploy
2. Body: {"assetId":"NONEXISTENT", "zoneId":"&lt;valid-uuid&gt;"}</t>
  </si>
  <si>
    <t>14. ALARM YÖNETİMİ</t>
  </si>
  <si>
    <t>ALR-001</t>
  </si>
  <si>
    <t>Alerts</t>
  </si>
  <si>
    <t>Tüm alarmları listeleme</t>
  </si>
  <si>
    <t>- Alarm kayıtları mevcut</t>
  </si>
  <si>
    <t>1. GET /api/v1/alerts</t>
  </si>
  <si>
    <t>200 OK
Alarm listesi (id, type, sourceId, severity, message, acknowledged)</t>
  </si>
  <si>
    <t>ALR-002</t>
  </si>
  <si>
    <t>Onaylanmamış alarmları listeleme</t>
  </si>
  <si>
    <t>- Onaylanmamış alarm var</t>
  </si>
  <si>
    <t>1. GET /api/v1/alerts/unacknowledged</t>
  </si>
  <si>
    <t>200 OK
Sadece acknowledged=false olanlar döner</t>
  </si>
  <si>
    <t>ALR-003</t>
  </si>
  <si>
    <t>Filtreleme</t>
  </si>
  <si>
    <t>Asset'e göre alarm filtreleme</t>
  </si>
  <si>
    <t>- Belirli asset'e ait alarmlar var</t>
  </si>
  <si>
    <t>1. GET /api/v1/alerts/asset/{sourceId}</t>
  </si>
  <si>
    <t>200 OK
Sadece ilgili asset'in alarmları</t>
  </si>
  <si>
    <t>ALR-004</t>
  </si>
  <si>
    <t>İstatistik</t>
  </si>
  <si>
    <t>Alarm istatistiklerini görüntüleme</t>
  </si>
  <si>
    <t>- Alarm kayıtları var</t>
  </si>
  <si>
    <t>1. GET /api/v1/alerts/stats</t>
  </si>
  <si>
    <t>200 OK
Toplam alarm, onaylanan, kritik sayısı</t>
  </si>
  <si>
    <t>ALR-005</t>
  </si>
  <si>
    <t>Onaylama</t>
  </si>
  <si>
    <t>Alarm onaylama (acknowledge)</t>
  </si>
  <si>
    <t>1. POST /api/v1/alerts/{id}/acknowledge</t>
  </si>
  <si>
    <t>200 OK
{"success": true}
Alarm acknowledged=true olur</t>
  </si>
  <si>
    <t>ALR-006</t>
  </si>
  <si>
    <t>Alarm silme</t>
  </si>
  <si>
    <t>- Mevcut alarm var</t>
  </si>
  <si>
    <t>1. DELETE /api/v1/alerts/{id}</t>
  </si>
  <si>
    <t>200 OK
{"success": true}</t>
  </si>
  <si>
    <t>15. TAKTİK ANALİZ</t>
  </si>
  <si>
    <t>ANL-001</t>
  </si>
  <si>
    <t>Analysis</t>
  </si>
  <si>
    <t>Tüm taktik analizleri listeleme</t>
  </si>
  <si>
    <t>- Tactical analysis kayıtları var</t>
  </si>
  <si>
    <t>1. GET /api/v1/analysis</t>
  </si>
  <si>
    <t>200 OK
threatLevel, decision, reasoning, confidence alanları</t>
  </si>
  <si>
    <t>ANL-002</t>
  </si>
  <si>
    <t>Tehdit seviyesine göre filtreleme</t>
  </si>
  <si>
    <t>- Farklı threat level'larda analiz kayıtları var</t>
  </si>
  <si>
    <t>1. GET /api/v1/analysis/threat/HIGH</t>
  </si>
  <si>
    <t>200 OK
Sadece HIGH threat level kayıtlar döner</t>
  </si>
  <si>
    <t>ANL-003</t>
  </si>
  <si>
    <t>Detay</t>
  </si>
  <si>
    <t>Tekil analiz detayı görüntüleme</t>
  </si>
  <si>
    <t>- Analiz kaydı mevcut</t>
  </si>
  <si>
    <t>1. GET /api/v1/analysis/{id}</t>
  </si>
  <si>
    <t>200 OK
Tek analiz detayı (threatLevel, decision, telemetry bilgisi)</t>
  </si>
  <si>
    <t>16. AI CHAT (Llama 3.1 8B)</t>
  </si>
  <si>
    <t>AI-001</t>
  </si>
  <si>
    <t>AI Service</t>
  </si>
  <si>
    <t>Chat</t>
  </si>
  <si>
    <t>Türkçe soru ile AI chat</t>
  </si>
  <si>
    <t>- AI Service çalışıyor (localhost:8000)
- Llama modeli yüklü</t>
  </si>
  <si>
    <t>1. POST /api/v1/ai/chat
2. Body: {"query": "Drone bataryası %15 altına düştüğünde ne yapılmalı?"}</t>
  </si>
  <si>
    <t>200 OK
Türkçe yanıt
cited_rule (varsa)
rag_hits sayısı
processing_time_ms</t>
  </si>
  <si>
    <t>AI-002</t>
  </si>
  <si>
    <t>Boş sorgu ile AI chat</t>
  </si>
  <si>
    <t>- AI Service çalışıyor</t>
  </si>
  <si>
    <t>1. POST /api/v1/ai/chat
2. Body: {"query": ""}</t>
  </si>
  <si>
    <t>400 Bad Request
"Sorgu boş olamaz" mesajı</t>
  </si>
  <si>
    <t>AI-003</t>
  </si>
  <si>
    <t>@Mention ile asset hakkında soru sorma</t>
  </si>
  <si>
    <t>- AI Service çalışıyor
- DB'de ilgili asset mevcut</t>
  </si>
  <si>
    <t>1. POST /api/v1/ai/chat
2. Body: {"query": "@2ORDU-TB2-01 bu droneun batarya durumu nedir?"}</t>
  </si>
  <si>
    <t>200 OK
Yanıtta asset'in gerçek zamanlı verileri kullanılır
Konum, batarya, hız bilgileri doğru</t>
  </si>
  <si>
    <t>AI-004</t>
  </si>
  <si>
    <t>RAG retrieval doğrulama (doktrin eşleşmesi)</t>
  </si>
  <si>
    <t>- tactical_memory tablosunda doktrin kuralları var</t>
  </si>
  <si>
    <t>1. POST /api/v1/ai/chat
2. IHA ile ilgili soru sor
3. cited_rule alanını kontrol et</t>
  </si>
  <si>
    <t>cited_rule IHA/drone doktrin kuralıyla eşleşir
Araç kuralı dönmez (cross-domain validation)</t>
  </si>
  <si>
    <t>17. AI ANALİZ (Gemma 2 9B)</t>
  </si>
  <si>
    <t>AI-005</t>
  </si>
  <si>
    <t>Analyze</t>
  </si>
  <si>
    <t>Drone telemetrisi ile tehdit analizi</t>
  </si>
  <si>
    <t>- AI Service çalışıyor
- Gemma modeli yüklü</t>
  </si>
  <si>
    <t>1. POST localhost:8000/analyze
2. Drone telemetry JSON body
3. Response kontrol et</t>
  </si>
  <si>
    <t>decision, threat_level, confidence, reasoning alanları
JSON formatında yapılandırılmış yanıt</t>
  </si>
  <si>
    <t>AI-006</t>
  </si>
  <si>
    <t>Asker (soldier) biyometrik analizi</t>
  </si>
  <si>
    <t>1. POST localhost:8000/analyze
2. Soldier telemetry (vitals: hr_bpm, spo2) body</t>
  </si>
  <si>
    <t>Biyometrik risk değerlendirmesi
Tehdit seviyesi ve öneriler</t>
  </si>
  <si>
    <t>AI-007</t>
  </si>
  <si>
    <t>Araç telemetrisi analizi (düşük yakıt)</t>
  </si>
  <si>
    <t>1. POST localhost:8000/analyze
2. Vehicle telemetry (fuel_pct: 8) body</t>
  </si>
  <si>
    <t>Yüksek risk tespit edilir
Yakıt ikmal önerisi</t>
  </si>
  <si>
    <t>18. AI SERVİS SAĞLIK</t>
  </si>
  <si>
    <t>AI-008</t>
  </si>
  <si>
    <t>Health</t>
  </si>
  <si>
    <t>AI servis health check</t>
  </si>
  <si>
    <t>1. GET localhost:8000/health</t>
  </si>
  <si>
    <t>200 OK
status: healthy
version bilgisi</t>
  </si>
  <si>
    <t>AI-009</t>
  </si>
  <si>
    <t>Info</t>
  </si>
  <si>
    <t>AI servis bilgi endpoint'i</t>
  </si>
  <si>
    <t>1. GET localhost:8000/info</t>
  </si>
  <si>
    <t>200 OK
Engines bilgisi (Gemma + Llama)
RAG model bilgisi
Desteklenen tipler listesi</t>
  </si>
  <si>
    <t>19. RAG MEMORY</t>
  </si>
  <si>
    <t>AI-010</t>
  </si>
  <si>
    <t>Memory Ingest</t>
  </si>
  <si>
    <t>Yeni angajman kuralı ekleme (ingest)</t>
  </si>
  <si>
    <t>- AI Service çalışıyor
- pgvector bağlantısı aktif</t>
  </si>
  <si>
    <t>1. POST localhost:8000/ingest
2. Body: {"event_description": "IHA bataryası %20 altına düşerse...", "threat_category": "ENGAGEMENT_RULE"}</t>
  </si>
  <si>
    <t>200 OK
success: true
event_id döner
Embedding oluşturulur</t>
  </si>
  <si>
    <t>AI-011</t>
  </si>
  <si>
    <t>Memory Stats</t>
  </si>
  <si>
    <t>Bellek istatistiklerini görüntüleme</t>
  </si>
  <si>
    <t>1. GET localhost:8000/memory/stats</t>
  </si>
  <si>
    <t>200 OK
Toplam kayıt sayısı
Kategori dağılımı</t>
  </si>
  <si>
    <t>20. SOHBET OTURUMLARI</t>
  </si>
  <si>
    <t>CHT-001</t>
  </si>
  <si>
    <t>Session CRUD</t>
  </si>
  <si>
    <t>Yeni sohbet oturumu oluşturma</t>
  </si>
  <si>
    <t>1. POST /api/v1/chats
2. Response kontrol et</t>
  </si>
  <si>
    <t>200 OK
id, title, createdAt alanları döner</t>
  </si>
  <si>
    <t>CHT-002</t>
  </si>
  <si>
    <t>Tüm oturumları listeleme</t>
  </si>
  <si>
    <t>- Oturum kayıtları var</t>
  </si>
  <si>
    <t>1. GET /api/v1/chats</t>
  </si>
  <si>
    <t>200 OK
Son güncellenene göre sıralı oturum listesi</t>
  </si>
  <si>
    <t>CHT-003</t>
  </si>
  <si>
    <t>Oturum silme</t>
  </si>
  <si>
    <t>- Mevcut oturum var</t>
  </si>
  <si>
    <t>1. DELETE /api/v1/chats/{sessionId}
2. Oturumun ve mesajlarının silindiğini doğrula</t>
  </si>
  <si>
    <t>204 No Content
Oturum ve mesajlar silinir</t>
  </si>
  <si>
    <t>21. SOHBET MESAJLARI</t>
  </si>
  <si>
    <t>CHT-004</t>
  </si>
  <si>
    <t>Messages</t>
  </si>
  <si>
    <t>Oturumda mesaj gönderme (user→AI round-trip)</t>
  </si>
  <si>
    <t>- Mevcut oturum var
- AI Service çalışıyor</t>
  </si>
  <si>
    <t>1. POST /api/v1/chats/{sessionId}/messages
2. Body: {"content": "Hava savunma protokolü nedir?"}</t>
  </si>
  <si>
    <t>200 OK
AI yanıtı döner
Her iki mesaj (user+assistant) DB'ye kaydedilir</t>
  </si>
  <si>
    <t>CHT-005</t>
  </si>
  <si>
    <t>Oturum mesajlarını çekme</t>
  </si>
  <si>
    <t>- Mesajları olan oturum mevcut</t>
  </si>
  <si>
    <t>1. GET /api/v1/chats/{sessionId}/messages</t>
  </si>
  <si>
    <t>200 OK
Kronolojik sırada mesaj listesi (user/assistant rolleri)</t>
  </si>
  <si>
    <t>CHT-006</t>
  </si>
  <si>
    <t>Boş mesaj gönderme</t>
  </si>
  <si>
    <t>1. POST /api/v1/chats/{sessionId}/messages
2. Body: {"content": ""}</t>
  </si>
  <si>
    <t>400 Bad Request
"Mesaj içeriği boş olamaz" mesajı</t>
  </si>
  <si>
    <t>CHT-007</t>
  </si>
  <si>
    <t>İlk mesajda otomatik oturum başlığı oluşturma</t>
  </si>
  <si>
    <t>- Yeni boş oturum</t>
  </si>
  <si>
    <t>1. POST /api/v1/chats/{sessionId}/messages
2. İlk mesajı gönder
3. GET /api/v1/chats ile oturum başlığını kontrol et</t>
  </si>
  <si>
    <t>Oturum title'ı otomatik güncellenir
Mesaj içeriğinden türetilir</t>
  </si>
  <si>
    <t>22. KULLANICI YÖNETİMİ (ADMIN)</t>
  </si>
  <si>
    <t>ADM-001</t>
  </si>
  <si>
    <t>Admin</t>
  </si>
  <si>
    <t>User CRUD</t>
  </si>
  <si>
    <t>Yeni kullanıcı oluşturma</t>
  </si>
  <si>
    <t>1. POST /api/v1/admin/users
2. Body: {"username":"test_user", "password":"Test123!", "role":"HAREKAT_SUBAYI", "assignedZoneId":"&lt;zone-uuid&gt;"}</t>
  </si>
  <si>
    <t>200 OK
Kullanıcı BCrypt hashli şifre ile kaydedilir
assignedZoneId doğru atanır</t>
  </si>
  <si>
    <t>ADM-002</t>
  </si>
  <si>
    <t>Aynı username ile kullanıcı oluşturma (duplicate)</t>
  </si>
  <si>
    <t>- Aynı username'de kullanıcı zaten var</t>
  </si>
  <si>
    <t>1. POST /api/v1/admin/users
2. Mevcut username ile body gönder</t>
  </si>
  <si>
    <t>400 Bad Request
"Username already exists" mesajı</t>
  </si>
  <si>
    <t>ADM-003</t>
  </si>
  <si>
    <t>HAREKAT_SUBAYI oluşturma (assignedZoneId olmadan)</t>
  </si>
  <si>
    <t>1. POST /api/v1/admin/users
2. Body: {"username":"subay1", "password":"pass", "role":"HAREKAT_SUBAYI"}</t>
  </si>
  <si>
    <t>400 Bad Request
"assignedZoneId is required for HAREKAT_SUBAYI" mesajı</t>
  </si>
  <si>
    <t>ADM-004</t>
  </si>
  <si>
    <t>Kullanıcı silme</t>
  </si>
  <si>
    <t>- KARARGAH_ADMIN ile giriş
- Silinecek kullanıcı var</t>
  </si>
  <si>
    <t>1. DELETE /api/v1/admin/users/{uuid}</t>
  </si>
  <si>
    <t>204 No Content
Kullanıcı silinir</t>
  </si>
  <si>
    <t>23. SİSTEM DURUMU</t>
  </si>
  <si>
    <t>ADM-005</t>
  </si>
  <si>
    <t>System Status</t>
  </si>
  <si>
    <t>Sistem durumu sorgulama</t>
  </si>
  <si>
    <t>- KARARGAH_ADMIN ile giriş
- Backend çalışıyor</t>
  </si>
  <si>
    <t>1. GET /api/v1/admin/system-status</t>
  </si>
  <si>
    <t>200 OK
status: ONLINE
activeUsers, totalAssets, activeTasks, totalZones sayıları</t>
  </si>
  <si>
    <t>ADM-006</t>
  </si>
  <si>
    <t>Service Status</t>
  </si>
  <si>
    <t>Servis sağlık durumu kontrolü</t>
  </si>
  <si>
    <t>1. GET /api/v1/admin/service-status</t>
  </si>
  <si>
    <t>200 OK
backend: ONLINE
database: ONLINE/OFFLINE
aiService: ONLINE/OFFLINE
mqttBroker: ONLINE/OFFLINE
dockerEngine: durumu</t>
  </si>
  <si>
    <t>24. SİSTEM LOGLARI</t>
  </si>
  <si>
    <t>LOG-001</t>
  </si>
  <si>
    <t>System Logs</t>
  </si>
  <si>
    <t>Tüm logları listeleme</t>
  </si>
  <si>
    <t>- Log kayıtları mevcut</t>
  </si>
  <si>
    <t>1. GET /api/v1/system-logs</t>
  </si>
  <si>
    <t>200 OK
Son oluşturulanlar önce
assetId, eventType, message alanları</t>
  </si>
  <si>
    <t>LOG-002</t>
  </si>
  <si>
    <t>Asset'e göre log filtreleme</t>
  </si>
  <si>
    <t>- Belirli asset'e ait loglar var</t>
  </si>
  <si>
    <t>1. GET /api/v1/system-logs/{assetId}</t>
  </si>
  <si>
    <t>200 OK
Sadece ilgili asset'in logları</t>
  </si>
  <si>
    <t>LOG-003</t>
  </si>
  <si>
    <t>Son Loglar</t>
  </si>
  <si>
    <t>Son N logu getirme</t>
  </si>
  <si>
    <t>- Çok sayıda log var</t>
  </si>
  <si>
    <t>1. GET /api/v1/system-logs/recent?limit=10</t>
  </si>
  <si>
    <t>200 OK
Maksimum 10 log döner
Sıralama: en yeni önce</t>
  </si>
  <si>
    <t>LOG-004</t>
  </si>
  <si>
    <t>Yeni log kaydı oluşturma</t>
  </si>
  <si>
    <t>1. POST /api/v1/system-logs
2. Body: {"assetId":"DRONE-001", "eventType":"MODE_CHANGE", "message":"Mode changed to AUTO"}</t>
  </si>
  <si>
    <t>200 OK
Log kaydı oluşturulur
createdAt otomatik set edilir</t>
  </si>
  <si>
    <t>25. GİRİŞ SAYFASI (LOGIN)</t>
  </si>
  <si>
    <t>FE-001</t>
  </si>
  <si>
    <t>Frontend</t>
  </si>
  <si>
    <t>Login Page</t>
  </si>
  <si>
    <t>Başarılı giriş ve yönlendirme</t>
  </si>
  <si>
    <t>- Frontend çalışıyor (localhost:5173)
- Geçerli kullanıcı mevcut</t>
  </si>
  <si>
    <t>1. Login sayfasına git
2. Doğru username/password gir
3. Giriş yap butonuna tıkla</t>
  </si>
  <si>
    <t>JWT token localStorage'a kaydedilir
Kullanıcı Dashboard'a yönlendirilir</t>
  </si>
  <si>
    <t>FE-002</t>
  </si>
  <si>
    <t>Hatalı giriş uyarısı</t>
  </si>
  <si>
    <t>- Frontend çalışıyor</t>
  </si>
  <si>
    <t>1. Yanlış username/password gir
2. Giriş yap butonuna tıkla</t>
  </si>
  <si>
    <t>Hata mesajı görünür
Sayfa yenilenmez
Token oluşmaz</t>
  </si>
  <si>
    <t>FE-003</t>
  </si>
  <si>
    <t>Token olmadan korumalı sayfaya erişim</t>
  </si>
  <si>
    <t>- LocalStorage'da token yok</t>
  </si>
  <si>
    <t>1. Direkt /map URL'ine git</t>
  </si>
  <si>
    <t>/login sayfasına yönlendirilir</t>
  </si>
  <si>
    <t>26. TAKTİK HARİTA</t>
  </si>
  <si>
    <t>FE-004</t>
  </si>
  <si>
    <t>Map View</t>
  </si>
  <si>
    <t>Harita üzerinde asset ikonlarının gösterimi</t>
  </si>
  <si>
    <t>- Giriş yapılmış
- Simülasyon çalışıyor</t>
  </si>
  <si>
    <t>1. Harita sayfasına git
2. Asset ikonlarının konumlarını gözlemle</t>
  </si>
  <si>
    <t>Tüm aktif asset'ler harita üzerinde doğru konumda
Tip bazlı ikon farklılığı (drone/vehicle/soldier/sensor)</t>
  </si>
  <si>
    <t>FE-005</t>
  </si>
  <si>
    <t>Harita üzerinde gerçek zamanlı hareket</t>
  </si>
  <si>
    <t>- Simülasyon çalışıyor
- Deploy edilmiş asset var</t>
  </si>
  <si>
    <t>1. Haritayı izle
2. Asset ikonlarının hareket ettiğini gözlemle</t>
  </si>
  <si>
    <t>İkonlar düzenli aralıklarla güncelleniyor
Hareket akıcı ve gözle takip edilebilir</t>
  </si>
  <si>
    <t>FE-006</t>
  </si>
  <si>
    <t>Taktik bölgelerin haritada gösterimi</t>
  </si>
  <si>
    <t>- Tactical zones tanımlı</t>
  </si>
  <si>
    <t>1. Harita üzerinde zone çemberlerini gözlemle</t>
  </si>
  <si>
    <t>Her zone çember/polygon olarak gösterilir
İsim etiketi görünür</t>
  </si>
  <si>
    <t>FE-007</t>
  </si>
  <si>
    <t>Asset'e tıklayınca popup/detay bilgisi</t>
  </si>
  <si>
    <t>- Harita üzerinde asset'ler var</t>
  </si>
  <si>
    <t>1. Bir asset ikonuna tıkla
2. Popup/panel içeriğini kontrol et</t>
  </si>
  <si>
    <t>Asset adı, tipi, batarya, hız, konum bilgileri görünür</t>
  </si>
  <si>
    <t>27. TELEMETRİ DASHBOARD</t>
  </si>
  <si>
    <t>FE-008</t>
  </si>
  <si>
    <t>Telemetri dashboard'unda veri gösterimi</t>
  </si>
  <si>
    <t>- Giriş yapılmış
- Telemetri verisi var</t>
  </si>
  <si>
    <t>1. Telemetri sayfasına git
2. Veri tablolarını/kartlarını kontrol et</t>
  </si>
  <si>
    <t>Tüm asset'ler için güncel telemetri gösterilir
Batarya, hız, konum bilgileri doğru</t>
  </si>
  <si>
    <t>28. ALARM PANELİ</t>
  </si>
  <si>
    <t>FE-009</t>
  </si>
  <si>
    <t>Alerts Page</t>
  </si>
  <si>
    <t>Alarm listesi gösterimi</t>
  </si>
  <si>
    <t>1. Alarmlar sayfasına git
2. Alarm listesini kontrol et</t>
  </si>
  <si>
    <t>Alarmlar severity'ye göre renklendirilmiş
Sıralama: en yeni önce</t>
  </si>
  <si>
    <t>FE-010</t>
  </si>
  <si>
    <t>Alarm onaylama (acknowledge) UI'dan</t>
  </si>
  <si>
    <t>1. Alarmlar sayfasında ilgili alarmı bul
2. Onayla butonuna tıkla</t>
  </si>
  <si>
    <t>Alarm onaylanmış olarak işaretlenir
UI güncel durumu yansıtır</t>
  </si>
  <si>
    <t>29. AI SOHBET ARAYÜZÜ</t>
  </si>
  <si>
    <t>FE-011</t>
  </si>
  <si>
    <t>AI Chat</t>
  </si>
  <si>
    <t>AI sohbet oturumu oluşturma ve mesaj gönderme</t>
  </si>
  <si>
    <t>- Giriş yapılmış
- AI Service çalışıyor</t>
  </si>
  <si>
    <t>1. AI Chat sayfasına git
2. Yeni oturum oluştur
3. Mesaj yaz ve gönder
4. AI yanıtını bekle</t>
  </si>
  <si>
    <t>Mesaj gönderilir
Yükleniyor animasyonu gösterilir
AI yanıtı görüntülenir
cited_rule (varsa) gösterilir</t>
  </si>
  <si>
    <t>FE-012</t>
  </si>
  <si>
    <t>Sohbet geçmişi yükleme</t>
  </si>
  <si>
    <t>- Geçmiş mesajları olan oturum var</t>
  </si>
  <si>
    <t>1. Mevcut oturuma tıkla
2. Geçmiş mesajları kontrol et</t>
  </si>
  <si>
    <t>Tüm geçmiş mesajlar kronolojik sırada yüklenir
user/assistant rolleri doğru gösterilir</t>
  </si>
  <si>
    <t>30. ADMIN PANELİ UI</t>
  </si>
  <si>
    <t>FE-013</t>
  </si>
  <si>
    <t>Admin Dashboard</t>
  </si>
  <si>
    <t>Admin dashboard istatistikleri</t>
  </si>
  <si>
    <t>1. Admin Dashboard'a git
2. İstatistik kartlarını kontrol et</t>
  </si>
  <si>
    <t>Aktif kullanıcı, toplam asset, aktif görev, toplam zone sayıları
Servis durumları (backend, DB, AI, MQTT)</t>
  </si>
  <si>
    <t>FE-014</t>
  </si>
  <si>
    <t>Admin - User Mgmt</t>
  </si>
  <si>
    <t>Admin panelinden kullanıcı oluşturma</t>
  </si>
  <si>
    <t>- KARARGAH_ADMIN ile giriş
- Kullanıcı yönetim sayfası açık</t>
  </si>
  <si>
    <t>1. 'Yeni Kullanıcı' formunu doldur
2. Rol seç
3. Zone ata (HAREKAT_SUBAYI için)
4. Kaydet</t>
  </si>
  <si>
    <t>Kullanıcı başarıyla oluşturulur
Liste güncellenir
Başarı bildirimi gösterilir</t>
  </si>
  <si>
    <t>FE-015</t>
  </si>
  <si>
    <t>Admin - Asset Registry</t>
  </si>
  <si>
    <t>Admin panelinden asset oluşturma</t>
  </si>
  <si>
    <t>- KARARGAH_ADMIN ile giriş
- Asset kayıt sayfası açık</t>
  </si>
  <si>
    <t>1. Asset kayıt formunu doldur (id, tip, koordinatlar)
2. Kaydet
3. Listenin güncellendiğini doğrula</t>
  </si>
  <si>
    <t>Asset oluşturulur
İlk telemetri kaydı otomatik oluşur
Liste güncellenir</t>
  </si>
  <si>
    <t>FE-016</t>
  </si>
  <si>
    <t>Admin - System Health</t>
  </si>
  <si>
    <t>Sistem sağlığı sayfası</t>
  </si>
  <si>
    <t>1. Sistem Sağlığı sayfasına git
2. Her servisin durumunu kontrol et</t>
  </si>
  <si>
    <t>Backend: ONLINE
Database: ONLINE/OFFLINE
AI Service: ONLINE/OFFLINE
MQTT: ONLINE/OFFLINE
Docker: durumu</t>
  </si>
  <si>
    <t>31. NAVIGASYON &amp; RESPONSIVE</t>
  </si>
  <si>
    <t>FE-017</t>
  </si>
  <si>
    <t>Navigation</t>
  </si>
  <si>
    <t>Sidebar navigasyon tüm sayfalara erişim</t>
  </si>
  <si>
    <t>- Giriş yapılmış</t>
  </si>
  <si>
    <t>1. Sidebar'dan her menü öğesine sırayla tıkla
2. Her sayfanın yüklendiğini doğrula</t>
  </si>
  <si>
    <t>Tüm sayfalar sorunsuz yüklenir
Aktif menü öğesi vurgulanır</t>
  </si>
  <si>
    <t>FE-018</t>
  </si>
  <si>
    <t>Logout</t>
  </si>
  <si>
    <t>Çıkış yapma</t>
  </si>
  <si>
    <t>1. Çıkış butonuna tıkla
2. LocalStorage'ı kontrol et</t>
  </si>
  <si>
    <t>Token localStorage'dan silinir
Login sayfasına yönlendirilir</t>
  </si>
  <si>
    <t>32. SİMÜLASYON MOTORU</t>
  </si>
  <si>
    <t>SIM-001</t>
  </si>
  <si>
    <t>Simulation</t>
  </si>
  <si>
    <t>Engine</t>
  </si>
  <si>
    <t>Simülasyon motorunun telemetri üretmesi</t>
  </si>
  <si>
    <t>- Backend çalışıyor
- SimulationEngine aktif
- Asset'ler mevcut</t>
  </si>
  <si>
    <t>1. Backend'i başlat
2. DB'deki telemetry kayıtlarını izle
3. Yeni kayıtların eklendiğini doğrula</t>
  </si>
  <si>
    <t>Her 3 saniyede tüm asset'ler için telemetri güncellenir
Konum, hız, batarya değerleri değişir</t>
  </si>
  <si>
    <t>SIM-002</t>
  </si>
  <si>
    <t>Movement</t>
  </si>
  <si>
    <t>Deploy edilen asset'in hedef zone'a hareketi</t>
  </si>
  <si>
    <t>- Asset ve zone mevcut
- Simülasyon çalışıyor</t>
  </si>
  <si>
    <t>1. Asset'i zone'a deploy et
2. Haritada hareketi izle
3. Varışı bekle</t>
  </si>
  <si>
    <t>Asset hedef zone'a doğru hareket eder
payload.status: EN_ROUTE → IN_MISSION
distance_remaining_m azalır</t>
  </si>
  <si>
    <t>SIM-003</t>
  </si>
  <si>
    <t>Scatter</t>
  </si>
  <si>
    <t>Zone içindeki birimlerin saçılmış konumlanması</t>
  </si>
  <si>
    <t>- Birden fazla asset aynı zone'a deploy edilmiş</t>
  </si>
  <si>
    <t>1. Birden fazla asset'i aynı zone'a konuşlandır
2. Haritada konumları gözlemle</t>
  </si>
  <si>
    <t>Asset'ler aynı noktada üst üste binmez
Zone yarıçapı içinde saçılmış konumlanır</t>
  </si>
  <si>
    <t>33. MQTT ENTEGRASYONU</t>
  </si>
  <si>
    <t>SIM-004</t>
  </si>
  <si>
    <t>Integration</t>
  </si>
  <si>
    <t>MQTT</t>
  </si>
  <si>
    <t>MQTT broker bağlantısı</t>
  </si>
  <si>
    <t>- MQTT broker çalışıyor (localhost:1883)</t>
  </si>
  <si>
    <t>1. Backend loglarını kontrol et
2. "MQTT Connection Successful" mesajını doğrula</t>
  </si>
  <si>
    <t>Backend MQTT'ye bağlanır
c4isr/+/telemetry topic'ine subscribe olur</t>
  </si>
  <si>
    <t>SIM-005</t>
  </si>
  <si>
    <t>MQTT üzerinden telemetri gönderme</t>
  </si>
  <si>
    <t>- MQTT broker ve backend çalışıyor</t>
  </si>
  <si>
    <t>1. MQTT client ile c4isr/drone/telemetry topic'ine mesaj yayınla
2. Backend log'unu izle
3. DB'de kayıt oluştuğunu doğrula</t>
  </si>
  <si>
    <t>Mesaj alınır
Telemetry tablosuna kaydedilir</t>
  </si>
  <si>
    <t>34. SWAGGER UI / OPENAPI</t>
  </si>
  <si>
    <t>SIM-006</t>
  </si>
  <si>
    <t>Swagger</t>
  </si>
  <si>
    <t>Swagger UI erişilebilirliği</t>
  </si>
  <si>
    <t>1. http://localhost:8080/swagger-ui/index.html adresine git</t>
  </si>
  <si>
    <t>Swagger UI yüklenir
SINAPS C4ISR API başlığı görünür
Tüm endpoint'ler listelenir</t>
  </si>
  <si>
    <t>SIM-007</t>
  </si>
  <si>
    <t>Swagger UI ile JWT Bearer token kullanımı</t>
  </si>
  <si>
    <t>- Swagger UI açık
- Geçerli JWT token mevcut</t>
  </si>
  <si>
    <t>1. Authorize butonuna tıkla
2. JWT token'ı yapıştır
3. Authorize tıkla
4. Korumalı endpoint'i "Try it out" ile test et</t>
  </si>
  <si>
    <t>Token kabul edilir
Korumalı endpoint'ler 200 döner</t>
  </si>
  <si>
    <t>35. PERFORMANS &amp; DAYANIKLILIK</t>
  </si>
  <si>
    <t>SIM-008</t>
  </si>
  <si>
    <t>Performance</t>
  </si>
  <si>
    <t>Yüksek sayıda asset ile simülasyon</t>
  </si>
  <si>
    <t>- 20+ asset DB'de mevcut
- Simülasyon çalışıyor</t>
  </si>
  <si>
    <t>1. Backend'in CPU/memory kullanımını izle
2. Harita üzerinde tüm asset'lerin gösterildiğini doğrula
3. 10 dakika boyunca stabil çalıştığını doğrula</t>
  </si>
  <si>
    <t>Sistem stabil çalışır
Telemetri pollingi aksamadan devam eder
%100 CPU'ya ulaşmaz</t>
  </si>
  <si>
    <t>SIM-009</t>
  </si>
  <si>
    <t>DB</t>
  </si>
  <si>
    <t>Backend → PostgreSQL bağlantı testi</t>
  </si>
  <si>
    <t>- PostgreSQL çalışıyor (port 5433)</t>
  </si>
  <si>
    <t>1. Backend'i başlat
2. HikariCP bağlantı loglarını kontrol et
3. Herhangi bir GET endpoint'ini çağır</t>
  </si>
  <si>
    <t>Bağlantı başarılı
HikariPool-1 initialized logu
Veri başarılı şekilde çekilir</t>
  </si>
  <si>
    <t>SIM-010</t>
  </si>
  <si>
    <t>CORS</t>
  </si>
  <si>
    <t>Frontend → Backend CORS politikası</t>
  </si>
  <si>
    <t>- Frontend (5173) ve Backend (8080) çalışıyor</t>
  </si>
  <si>
    <t>1. Frontend'den herhangi bir API çağrısı yap
2. Browser console'da CORS hatası olup olmadığını kontrol et</t>
  </si>
  <si>
    <t>CORS hatası yok
Access-Control-Allow-Origin header'ı doğru
Preflight (OPTIONS) istekleri başarılı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</si>
</sst>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b/>
      <sz val="11"/>
      <color rgb="FF1F4E79"/>
      <name val="Calibri"/>
      <family val="2"/>
      <charset val="162"/>
    </font>
    <font>
      <sz val="10"/>
      <name val="Calibri"/>
      <family val="2"/>
      <charset val="162"/>
    </font>
    <font>
      <b/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pane ySplit="1" topLeftCell="A2" activePane="bottomLeft" state="frozen"/>
      <selection pane="bottomLeft" activeCell="B23" sqref="B23"/>
    </sheetView>
  </sheetViews>
  <sheetFormatPr defaultRowHeight="14.5" x14ac:dyDescent="0.35"/>
  <cols>
    <col min="1" max="1" width="25" customWidth="1"/>
    <col min="2" max="2" width="22" customWidth="1"/>
    <col min="3" max="3" width="14" customWidth="1"/>
    <col min="4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3">
        <v>13</v>
      </c>
      <c r="D2" s="3">
        <v>0</v>
      </c>
      <c r="E2" s="3">
        <v>0</v>
      </c>
      <c r="F2" s="3">
        <v>0</v>
      </c>
      <c r="G2" s="3">
        <v>0</v>
      </c>
    </row>
    <row r="3" spans="1:7" x14ac:dyDescent="0.35">
      <c r="A3" s="2" t="s">
        <v>9</v>
      </c>
      <c r="B3" s="2" t="s">
        <v>10</v>
      </c>
      <c r="C3" s="3">
        <v>11</v>
      </c>
      <c r="D3" s="3">
        <v>0</v>
      </c>
      <c r="E3" s="3">
        <v>0</v>
      </c>
      <c r="F3" s="3">
        <v>0</v>
      </c>
      <c r="G3" s="3">
        <v>0</v>
      </c>
    </row>
    <row r="4" spans="1:7" x14ac:dyDescent="0.35">
      <c r="A4" s="2" t="s">
        <v>11</v>
      </c>
      <c r="B4" s="2" t="s">
        <v>12</v>
      </c>
      <c r="C4" s="3">
        <v>6</v>
      </c>
      <c r="D4" s="3">
        <v>0</v>
      </c>
      <c r="E4" s="3">
        <v>0</v>
      </c>
      <c r="F4" s="3">
        <v>0</v>
      </c>
      <c r="G4" s="3">
        <v>0</v>
      </c>
    </row>
    <row r="5" spans="1:7" x14ac:dyDescent="0.35">
      <c r="A5" s="2" t="s">
        <v>13</v>
      </c>
      <c r="B5" s="2" t="s">
        <v>14</v>
      </c>
      <c r="C5" s="3">
        <v>5</v>
      </c>
      <c r="D5" s="3">
        <v>0</v>
      </c>
      <c r="E5" s="3">
        <v>0</v>
      </c>
      <c r="F5" s="3">
        <v>0</v>
      </c>
      <c r="G5" s="3">
        <v>0</v>
      </c>
    </row>
    <row r="6" spans="1:7" x14ac:dyDescent="0.35">
      <c r="A6" s="2" t="s">
        <v>15</v>
      </c>
      <c r="B6" s="2" t="s">
        <v>16</v>
      </c>
      <c r="C6" s="3">
        <v>6</v>
      </c>
      <c r="D6" s="3">
        <v>0</v>
      </c>
      <c r="E6" s="3">
        <v>0</v>
      </c>
      <c r="F6" s="3">
        <v>0</v>
      </c>
      <c r="G6" s="3">
        <v>0</v>
      </c>
    </row>
    <row r="7" spans="1:7" x14ac:dyDescent="0.35">
      <c r="A7" s="2" t="s">
        <v>17</v>
      </c>
      <c r="B7" s="2" t="s">
        <v>18</v>
      </c>
      <c r="C7" s="3">
        <v>9</v>
      </c>
      <c r="D7" s="3">
        <v>0</v>
      </c>
      <c r="E7" s="3">
        <v>0</v>
      </c>
      <c r="F7" s="3">
        <v>0</v>
      </c>
      <c r="G7" s="3">
        <v>0</v>
      </c>
    </row>
    <row r="8" spans="1:7" x14ac:dyDescent="0.35">
      <c r="A8" s="2" t="s">
        <v>19</v>
      </c>
      <c r="B8" s="2" t="s">
        <v>20</v>
      </c>
      <c r="C8" s="3">
        <v>11</v>
      </c>
      <c r="D8" s="3">
        <v>0</v>
      </c>
      <c r="E8" s="3">
        <v>0</v>
      </c>
      <c r="F8" s="3">
        <v>0</v>
      </c>
      <c r="G8" s="3">
        <v>0</v>
      </c>
    </row>
    <row r="9" spans="1:7" x14ac:dyDescent="0.35">
      <c r="A9" s="2" t="s">
        <v>21</v>
      </c>
      <c r="B9" s="2" t="s">
        <v>22</v>
      </c>
      <c r="C9" s="3">
        <v>7</v>
      </c>
      <c r="D9" s="3">
        <v>0</v>
      </c>
      <c r="E9" s="3">
        <v>0</v>
      </c>
      <c r="F9" s="3">
        <v>0</v>
      </c>
      <c r="G9" s="3">
        <v>0</v>
      </c>
    </row>
    <row r="10" spans="1:7" x14ac:dyDescent="0.35">
      <c r="A10" s="2" t="s">
        <v>23</v>
      </c>
      <c r="B10" s="2" t="s">
        <v>24</v>
      </c>
      <c r="C10" s="3">
        <v>6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35">
      <c r="A11" s="2" t="s">
        <v>25</v>
      </c>
      <c r="B11" s="2" t="s">
        <v>26</v>
      </c>
      <c r="C11" s="3">
        <v>4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35">
      <c r="A12" s="2" t="s">
        <v>27</v>
      </c>
      <c r="B12" s="2" t="s">
        <v>28</v>
      </c>
      <c r="C12" s="3">
        <v>18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35">
      <c r="A13" s="2" t="s">
        <v>29</v>
      </c>
      <c r="B13" s="2" t="s">
        <v>30</v>
      </c>
      <c r="C13" s="3">
        <v>10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35">
      <c r="A14" s="4" t="s">
        <v>31</v>
      </c>
      <c r="B14" s="2"/>
      <c r="C14" s="5">
        <f>SUM(C2:C13)</f>
        <v>106</v>
      </c>
      <c r="D14" s="5">
        <f>SUM(D2:D13)</f>
        <v>0</v>
      </c>
      <c r="E14" s="5">
        <f>SUM(E2:E13)</f>
        <v>0</v>
      </c>
      <c r="F14" s="5">
        <f>SUM(F2:F13)</f>
        <v>0</v>
      </c>
      <c r="G14" s="5">
        <f>IF(C14&gt;0, ROUND(D14/C14*100, 1), 0)</f>
        <v>0</v>
      </c>
    </row>
    <row r="16" spans="1:7" x14ac:dyDescent="0.35">
      <c r="A16" s="6" t="s">
        <v>32</v>
      </c>
      <c r="B16" t="s">
        <v>33</v>
      </c>
    </row>
    <row r="17" spans="1:2" x14ac:dyDescent="0.35">
      <c r="A17" s="6" t="s">
        <v>34</v>
      </c>
      <c r="B17" t="s">
        <v>35</v>
      </c>
    </row>
    <row r="18" spans="1:2" x14ac:dyDescent="0.35">
      <c r="A18" s="6" t="s">
        <v>36</v>
      </c>
      <c r="B18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49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58</v>
      </c>
      <c r="B4" s="7" t="s">
        <v>51</v>
      </c>
      <c r="C4" s="7" t="s">
        <v>52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57</v>
      </c>
      <c r="I4" s="7"/>
      <c r="J4" s="7"/>
      <c r="K4" s="7"/>
      <c r="L4" s="7"/>
    </row>
    <row r="5" spans="1:12" ht="26" x14ac:dyDescent="0.35">
      <c r="A5" s="7" t="s">
        <v>63</v>
      </c>
      <c r="B5" s="7" t="s">
        <v>51</v>
      </c>
      <c r="C5" s="7" t="s">
        <v>52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  <c r="I5" s="7"/>
      <c r="J5" s="7"/>
      <c r="K5" s="7"/>
      <c r="L5" s="7"/>
    </row>
    <row r="6" spans="1:12" ht="26" x14ac:dyDescent="0.35">
      <c r="A6" s="7" t="s">
        <v>69</v>
      </c>
      <c r="B6" s="7" t="s">
        <v>51</v>
      </c>
      <c r="C6" s="7" t="s">
        <v>52</v>
      </c>
      <c r="D6" s="7" t="s">
        <v>70</v>
      </c>
      <c r="E6" s="7" t="s">
        <v>65</v>
      </c>
      <c r="F6" s="7" t="s">
        <v>71</v>
      </c>
      <c r="G6" s="7" t="s">
        <v>72</v>
      </c>
      <c r="H6" s="7" t="s">
        <v>73</v>
      </c>
      <c r="I6" s="7"/>
      <c r="J6" s="7"/>
      <c r="K6" s="7"/>
      <c r="L6" s="7"/>
    </row>
    <row r="7" spans="1:12" x14ac:dyDescent="0.35">
      <c r="A7" s="8" t="s">
        <v>74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39" x14ac:dyDescent="0.35">
      <c r="A8" s="7" t="s">
        <v>75</v>
      </c>
      <c r="B8" s="7" t="s">
        <v>51</v>
      </c>
      <c r="C8" s="7" t="s">
        <v>76</v>
      </c>
      <c r="D8" s="7" t="s">
        <v>77</v>
      </c>
      <c r="E8" s="7" t="s">
        <v>78</v>
      </c>
      <c r="F8" s="7" t="s">
        <v>79</v>
      </c>
      <c r="G8" s="7" t="s">
        <v>80</v>
      </c>
      <c r="H8" s="7" t="s">
        <v>57</v>
      </c>
      <c r="I8" s="7"/>
      <c r="J8" s="7"/>
      <c r="K8" s="7"/>
      <c r="L8" s="7"/>
    </row>
    <row r="9" spans="1:12" ht="26" x14ac:dyDescent="0.35">
      <c r="A9" s="7" t="s">
        <v>81</v>
      </c>
      <c r="B9" s="7" t="s">
        <v>51</v>
      </c>
      <c r="C9" s="7" t="s">
        <v>76</v>
      </c>
      <c r="D9" s="7" t="s">
        <v>82</v>
      </c>
      <c r="E9" s="7" t="s">
        <v>65</v>
      </c>
      <c r="F9" s="7" t="s">
        <v>83</v>
      </c>
      <c r="G9" s="7" t="s">
        <v>84</v>
      </c>
      <c r="H9" s="7" t="s">
        <v>57</v>
      </c>
      <c r="I9" s="7"/>
      <c r="J9" s="7"/>
      <c r="K9" s="7"/>
      <c r="L9" s="7"/>
    </row>
    <row r="10" spans="1:12" ht="26" x14ac:dyDescent="0.35">
      <c r="A10" s="7" t="s">
        <v>85</v>
      </c>
      <c r="B10" s="7" t="s">
        <v>51</v>
      </c>
      <c r="C10" s="7" t="s">
        <v>76</v>
      </c>
      <c r="D10" s="7" t="s">
        <v>86</v>
      </c>
      <c r="E10" s="7" t="s">
        <v>87</v>
      </c>
      <c r="F10" s="7" t="s">
        <v>88</v>
      </c>
      <c r="G10" s="7" t="s">
        <v>67</v>
      </c>
      <c r="H10" s="7" t="s">
        <v>68</v>
      </c>
      <c r="I10" s="7"/>
      <c r="J10" s="7"/>
      <c r="K10" s="7"/>
      <c r="L10" s="7"/>
    </row>
    <row r="11" spans="1:12" ht="26" x14ac:dyDescent="0.35">
      <c r="A11" s="7" t="s">
        <v>89</v>
      </c>
      <c r="B11" s="7" t="s">
        <v>51</v>
      </c>
      <c r="C11" s="7" t="s">
        <v>76</v>
      </c>
      <c r="D11" s="7" t="s">
        <v>90</v>
      </c>
      <c r="E11" s="7" t="s">
        <v>91</v>
      </c>
      <c r="F11" s="7" t="s">
        <v>92</v>
      </c>
      <c r="G11" s="7" t="s">
        <v>67</v>
      </c>
      <c r="H11" s="7" t="s">
        <v>68</v>
      </c>
      <c r="I11" s="7"/>
      <c r="J11" s="7"/>
      <c r="K11" s="7"/>
      <c r="L11" s="7"/>
    </row>
    <row r="12" spans="1:12" x14ac:dyDescent="0.35">
      <c r="A12" s="8" t="s">
        <v>93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spans="1:12" ht="26" x14ac:dyDescent="0.35">
      <c r="A13" s="7" t="s">
        <v>94</v>
      </c>
      <c r="B13" s="7" t="s">
        <v>51</v>
      </c>
      <c r="C13" s="7" t="s">
        <v>95</v>
      </c>
      <c r="D13" s="7" t="s">
        <v>96</v>
      </c>
      <c r="E13" s="7" t="s">
        <v>97</v>
      </c>
      <c r="F13" s="7" t="s">
        <v>98</v>
      </c>
      <c r="G13" s="7" t="s">
        <v>99</v>
      </c>
      <c r="H13" s="7" t="s">
        <v>57</v>
      </c>
      <c r="I13" s="7"/>
      <c r="J13" s="7"/>
      <c r="K13" s="7"/>
      <c r="L13" s="7"/>
    </row>
    <row r="14" spans="1:12" ht="26" x14ac:dyDescent="0.35">
      <c r="A14" s="7" t="s">
        <v>100</v>
      </c>
      <c r="B14" s="7" t="s">
        <v>51</v>
      </c>
      <c r="C14" s="7" t="s">
        <v>95</v>
      </c>
      <c r="D14" s="7" t="s">
        <v>101</v>
      </c>
      <c r="E14" s="7" t="s">
        <v>102</v>
      </c>
      <c r="F14" s="7" t="s">
        <v>103</v>
      </c>
      <c r="G14" s="7" t="s">
        <v>104</v>
      </c>
      <c r="H14" s="7" t="s">
        <v>57</v>
      </c>
      <c r="I14" s="7"/>
      <c r="J14" s="7"/>
      <c r="K14" s="7"/>
      <c r="L14" s="7"/>
    </row>
    <row r="15" spans="1:12" ht="39" x14ac:dyDescent="0.35">
      <c r="A15" s="7" t="s">
        <v>105</v>
      </c>
      <c r="B15" s="7" t="s">
        <v>51</v>
      </c>
      <c r="C15" s="7" t="s">
        <v>95</v>
      </c>
      <c r="D15" s="7" t="s">
        <v>106</v>
      </c>
      <c r="E15" s="7" t="s">
        <v>107</v>
      </c>
      <c r="F15" s="7" t="s">
        <v>108</v>
      </c>
      <c r="G15" s="7" t="s">
        <v>109</v>
      </c>
      <c r="H15" s="7" t="s">
        <v>57</v>
      </c>
      <c r="I15" s="7"/>
      <c r="J15" s="7"/>
      <c r="K15" s="7"/>
      <c r="L15" s="7"/>
    </row>
    <row r="16" spans="1:12" ht="26" x14ac:dyDescent="0.35">
      <c r="A16" s="7" t="s">
        <v>110</v>
      </c>
      <c r="B16" s="7" t="s">
        <v>51</v>
      </c>
      <c r="C16" s="7" t="s">
        <v>95</v>
      </c>
      <c r="D16" s="7" t="s">
        <v>111</v>
      </c>
      <c r="E16" s="7" t="s">
        <v>112</v>
      </c>
      <c r="F16" s="7" t="s">
        <v>113</v>
      </c>
      <c r="G16" s="7" t="s">
        <v>114</v>
      </c>
      <c r="H16" s="7" t="s">
        <v>68</v>
      </c>
      <c r="I16" s="7"/>
      <c r="J16" s="7"/>
      <c r="K16" s="7"/>
      <c r="L16" s="7"/>
    </row>
    <row r="17" spans="1:12" ht="26" x14ac:dyDescent="0.35">
      <c r="A17" s="7" t="s">
        <v>115</v>
      </c>
      <c r="B17" s="7" t="s">
        <v>51</v>
      </c>
      <c r="C17" s="7" t="s">
        <v>95</v>
      </c>
      <c r="D17" s="7" t="s">
        <v>116</v>
      </c>
      <c r="E17" s="7" t="s">
        <v>117</v>
      </c>
      <c r="F17" s="7" t="s">
        <v>118</v>
      </c>
      <c r="G17" s="7" t="s">
        <v>119</v>
      </c>
      <c r="H17" s="7" t="s">
        <v>68</v>
      </c>
      <c r="I17" s="7"/>
      <c r="J17" s="7"/>
      <c r="K17" s="7"/>
      <c r="L17" s="7"/>
    </row>
  </sheetData>
  <autoFilter ref="A1:L17" xr:uid="{00000000-0009-0000-0000-000001000000}"/>
  <mergeCells count="3">
    <mergeCell ref="A2:L2"/>
    <mergeCell ref="A7:L7"/>
    <mergeCell ref="A12:L12"/>
  </mergeCells>
  <dataValidations count="2">
    <dataValidation type="list" allowBlank="1" error="Lütfen geçerli bir sonuç seçin" prompt="Test sonucunu seçin" sqref="I3 I4 I5 I6 I8 I9 I10 I11 I13 I14 I15 I16 I17" xr:uid="{00000000-0002-0000-0100-000000000000}">
      <formula1>"BAŞARILI,BAŞARISIZ,ATLANMIŞ,TEST EDİLMEDİ"</formula1>
    </dataValidation>
    <dataValidation type="list" allowBlank="1" sqref="H3 H4 H5 H6 H8 H9 H10 H11 H13 H14 H15 H16 H17" xr:uid="{00000000-0002-0000-0100-000001000000}">
      <formula1>"KRİTİK,YÜKSEK,ORTA,DÜŞÜK"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120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52" x14ac:dyDescent="0.35">
      <c r="A3" s="7" t="s">
        <v>121</v>
      </c>
      <c r="B3" s="7" t="s">
        <v>122</v>
      </c>
      <c r="C3" s="7" t="s">
        <v>123</v>
      </c>
      <c r="D3" s="7" t="s">
        <v>124</v>
      </c>
      <c r="E3" s="7" t="s">
        <v>125</v>
      </c>
      <c r="F3" s="7" t="s">
        <v>126</v>
      </c>
      <c r="G3" s="7" t="s">
        <v>127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128</v>
      </c>
      <c r="B4" s="7" t="s">
        <v>122</v>
      </c>
      <c r="C4" s="7" t="s">
        <v>123</v>
      </c>
      <c r="D4" s="7" t="s">
        <v>129</v>
      </c>
      <c r="E4" s="7" t="s">
        <v>130</v>
      </c>
      <c r="F4" s="7" t="s">
        <v>131</v>
      </c>
      <c r="G4" s="7" t="s">
        <v>132</v>
      </c>
      <c r="H4" s="7" t="s">
        <v>73</v>
      </c>
      <c r="I4" s="7"/>
      <c r="J4" s="7"/>
      <c r="K4" s="7"/>
      <c r="L4" s="7"/>
    </row>
    <row r="5" spans="1:12" x14ac:dyDescent="0.35">
      <c r="A5" s="8" t="s">
        <v>133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130" x14ac:dyDescent="0.35">
      <c r="A6" s="7" t="s">
        <v>134</v>
      </c>
      <c r="B6" s="7" t="s">
        <v>122</v>
      </c>
      <c r="C6" s="7" t="s">
        <v>135</v>
      </c>
      <c r="D6" s="7" t="s">
        <v>136</v>
      </c>
      <c r="E6" s="7" t="s">
        <v>137</v>
      </c>
      <c r="F6" s="7" t="s">
        <v>138</v>
      </c>
      <c r="G6" s="7" t="s">
        <v>139</v>
      </c>
      <c r="H6" s="7" t="s">
        <v>57</v>
      </c>
      <c r="I6" s="7"/>
      <c r="J6" s="7"/>
      <c r="K6" s="7"/>
      <c r="L6" s="7"/>
    </row>
    <row r="7" spans="1:12" ht="26" x14ac:dyDescent="0.35">
      <c r="A7" s="7" t="s">
        <v>140</v>
      </c>
      <c r="B7" s="7" t="s">
        <v>122</v>
      </c>
      <c r="C7" s="7" t="s">
        <v>135</v>
      </c>
      <c r="D7" s="7" t="s">
        <v>141</v>
      </c>
      <c r="E7" s="7" t="s">
        <v>142</v>
      </c>
      <c r="F7" s="7" t="s">
        <v>143</v>
      </c>
      <c r="G7" s="7" t="s">
        <v>144</v>
      </c>
      <c r="H7" s="7" t="s">
        <v>68</v>
      </c>
      <c r="I7" s="7"/>
      <c r="J7" s="7"/>
      <c r="K7" s="7"/>
      <c r="L7" s="7"/>
    </row>
    <row r="8" spans="1:12" ht="26" x14ac:dyDescent="0.35">
      <c r="A8" s="7" t="s">
        <v>145</v>
      </c>
      <c r="B8" s="7" t="s">
        <v>122</v>
      </c>
      <c r="C8" s="7" t="s">
        <v>135</v>
      </c>
      <c r="D8" s="7" t="s">
        <v>146</v>
      </c>
      <c r="E8" s="7" t="s">
        <v>142</v>
      </c>
      <c r="F8" s="7" t="s">
        <v>147</v>
      </c>
      <c r="G8" s="7" t="s">
        <v>148</v>
      </c>
      <c r="H8" s="7" t="s">
        <v>68</v>
      </c>
      <c r="I8" s="7"/>
      <c r="J8" s="7"/>
      <c r="K8" s="7"/>
      <c r="L8" s="7"/>
    </row>
    <row r="9" spans="1:12" ht="26" x14ac:dyDescent="0.35">
      <c r="A9" s="7" t="s">
        <v>149</v>
      </c>
      <c r="B9" s="7" t="s">
        <v>122</v>
      </c>
      <c r="C9" s="7" t="s">
        <v>135</v>
      </c>
      <c r="D9" s="7" t="s">
        <v>150</v>
      </c>
      <c r="E9" s="7" t="s">
        <v>151</v>
      </c>
      <c r="F9" s="7" t="s">
        <v>152</v>
      </c>
      <c r="G9" s="7" t="s">
        <v>153</v>
      </c>
      <c r="H9" s="7" t="s">
        <v>68</v>
      </c>
      <c r="I9" s="7"/>
      <c r="J9" s="7"/>
      <c r="K9" s="7"/>
      <c r="L9" s="7"/>
    </row>
    <row r="10" spans="1:12" ht="26" x14ac:dyDescent="0.35">
      <c r="A10" s="7" t="s">
        <v>154</v>
      </c>
      <c r="B10" s="7" t="s">
        <v>122</v>
      </c>
      <c r="C10" s="7" t="s">
        <v>135</v>
      </c>
      <c r="D10" s="7" t="s">
        <v>155</v>
      </c>
      <c r="E10" s="7" t="s">
        <v>142</v>
      </c>
      <c r="F10" s="7" t="s">
        <v>156</v>
      </c>
      <c r="G10" s="7" t="s">
        <v>157</v>
      </c>
      <c r="H10" s="7" t="s">
        <v>73</v>
      </c>
      <c r="I10" s="7"/>
      <c r="J10" s="7"/>
      <c r="K10" s="7"/>
      <c r="L10" s="7"/>
    </row>
    <row r="11" spans="1:12" x14ac:dyDescent="0.35">
      <c r="A11" s="8" t="s">
        <v>158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1:12" ht="26" x14ac:dyDescent="0.35">
      <c r="A12" s="7" t="s">
        <v>159</v>
      </c>
      <c r="B12" s="7" t="s">
        <v>122</v>
      </c>
      <c r="C12" s="7" t="s">
        <v>160</v>
      </c>
      <c r="D12" s="7" t="s">
        <v>161</v>
      </c>
      <c r="E12" s="7" t="s">
        <v>162</v>
      </c>
      <c r="F12" s="7" t="s">
        <v>163</v>
      </c>
      <c r="G12" s="7" t="s">
        <v>164</v>
      </c>
      <c r="H12" s="7" t="s">
        <v>57</v>
      </c>
      <c r="I12" s="7"/>
      <c r="J12" s="7"/>
      <c r="K12" s="7"/>
      <c r="L12" s="7"/>
    </row>
    <row r="13" spans="1:12" ht="26" x14ac:dyDescent="0.35">
      <c r="A13" s="7" t="s">
        <v>165</v>
      </c>
      <c r="B13" s="7" t="s">
        <v>122</v>
      </c>
      <c r="C13" s="7" t="s">
        <v>160</v>
      </c>
      <c r="D13" s="7" t="s">
        <v>166</v>
      </c>
      <c r="E13" s="7" t="s">
        <v>142</v>
      </c>
      <c r="F13" s="7" t="s">
        <v>167</v>
      </c>
      <c r="G13" s="7" t="s">
        <v>168</v>
      </c>
      <c r="H13" s="7" t="s">
        <v>73</v>
      </c>
      <c r="I13" s="7"/>
      <c r="J13" s="7"/>
      <c r="K13" s="7"/>
      <c r="L13" s="7"/>
    </row>
    <row r="14" spans="1:12" x14ac:dyDescent="0.35">
      <c r="A14" s="8" t="s">
        <v>169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52" x14ac:dyDescent="0.35">
      <c r="A15" s="7" t="s">
        <v>170</v>
      </c>
      <c r="B15" s="7" t="s">
        <v>122</v>
      </c>
      <c r="C15" s="7" t="s">
        <v>171</v>
      </c>
      <c r="D15" s="7" t="s">
        <v>172</v>
      </c>
      <c r="E15" s="7" t="s">
        <v>173</v>
      </c>
      <c r="F15" s="7" t="s">
        <v>174</v>
      </c>
      <c r="G15" s="7" t="s">
        <v>175</v>
      </c>
      <c r="H15" s="7" t="s">
        <v>57</v>
      </c>
      <c r="I15" s="7"/>
      <c r="J15" s="7"/>
      <c r="K15" s="7"/>
      <c r="L15" s="7"/>
    </row>
    <row r="16" spans="1:12" ht="26" x14ac:dyDescent="0.35">
      <c r="A16" s="7" t="s">
        <v>176</v>
      </c>
      <c r="B16" s="7" t="s">
        <v>122</v>
      </c>
      <c r="C16" s="7" t="s">
        <v>171</v>
      </c>
      <c r="D16" s="7" t="s">
        <v>177</v>
      </c>
      <c r="E16" s="7" t="s">
        <v>178</v>
      </c>
      <c r="F16" s="7" t="s">
        <v>179</v>
      </c>
      <c r="G16" s="7" t="s">
        <v>180</v>
      </c>
      <c r="H16" s="7" t="s">
        <v>73</v>
      </c>
      <c r="I16" s="7"/>
      <c r="J16" s="7"/>
      <c r="K16" s="7"/>
      <c r="L16" s="7"/>
    </row>
  </sheetData>
  <autoFilter ref="A1:L16" xr:uid="{00000000-0009-0000-0000-000002000000}"/>
  <mergeCells count="4">
    <mergeCell ref="A11:L11"/>
    <mergeCell ref="A14:L14"/>
    <mergeCell ref="A2:L2"/>
    <mergeCell ref="A5:L5"/>
  </mergeCells>
  <dataValidations count="2">
    <dataValidation type="list" allowBlank="1" error="Lütfen geçerli bir sonuç seçin" prompt="Test sonucunu seçin" sqref="I3 I4 I6 I7 I8 I9 I10 I12 I13 I15 I16" xr:uid="{00000000-0002-0000-0200-000000000000}">
      <formula1>"BAŞARILI,BAŞARISIZ,ATLANMIŞ,TEST EDİLMEDİ"</formula1>
    </dataValidation>
    <dataValidation type="list" allowBlank="1" sqref="H3 H4 H6 H7 H8 H9 H10 H12 H13 H15 H16" xr:uid="{00000000-0002-0000-0200-000001000000}">
      <formula1>"KRİTİK,YÜKSEK,ORTA,DÜŞÜK"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181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52" x14ac:dyDescent="0.35">
      <c r="A3" s="7" t="s">
        <v>182</v>
      </c>
      <c r="B3" s="7" t="s">
        <v>183</v>
      </c>
      <c r="C3" s="7" t="s">
        <v>184</v>
      </c>
      <c r="D3" s="7" t="s">
        <v>185</v>
      </c>
      <c r="E3" s="7" t="s">
        <v>186</v>
      </c>
      <c r="F3" s="7" t="s">
        <v>187</v>
      </c>
      <c r="G3" s="7" t="s">
        <v>188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189</v>
      </c>
      <c r="B4" s="7" t="s">
        <v>183</v>
      </c>
      <c r="C4" s="7" t="s">
        <v>190</v>
      </c>
      <c r="D4" s="7" t="s">
        <v>191</v>
      </c>
      <c r="E4" s="7" t="s">
        <v>192</v>
      </c>
      <c r="F4" s="7" t="s">
        <v>193</v>
      </c>
      <c r="G4" s="7" t="s">
        <v>194</v>
      </c>
      <c r="H4" s="7" t="s">
        <v>68</v>
      </c>
      <c r="I4" s="7"/>
      <c r="J4" s="7"/>
      <c r="K4" s="7"/>
      <c r="L4" s="7"/>
    </row>
    <row r="5" spans="1:12" x14ac:dyDescent="0.35">
      <c r="A5" s="8" t="s">
        <v>195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65" x14ac:dyDescent="0.35">
      <c r="A6" s="7" t="s">
        <v>196</v>
      </c>
      <c r="B6" s="7" t="s">
        <v>183</v>
      </c>
      <c r="C6" s="7" t="s">
        <v>197</v>
      </c>
      <c r="D6" s="7" t="s">
        <v>198</v>
      </c>
      <c r="E6" s="7" t="s">
        <v>65</v>
      </c>
      <c r="F6" s="7" t="s">
        <v>199</v>
      </c>
      <c r="G6" s="7" t="s">
        <v>200</v>
      </c>
      <c r="H6" s="7" t="s">
        <v>57</v>
      </c>
      <c r="I6" s="7"/>
      <c r="J6" s="7"/>
      <c r="K6" s="7"/>
      <c r="L6" s="7"/>
    </row>
    <row r="7" spans="1:12" ht="26" x14ac:dyDescent="0.35">
      <c r="A7" s="7" t="s">
        <v>201</v>
      </c>
      <c r="B7" s="7" t="s">
        <v>183</v>
      </c>
      <c r="C7" s="7" t="s">
        <v>197</v>
      </c>
      <c r="D7" s="7" t="s">
        <v>202</v>
      </c>
      <c r="E7" s="7" t="s">
        <v>65</v>
      </c>
      <c r="F7" s="7" t="s">
        <v>203</v>
      </c>
      <c r="G7" s="7" t="s">
        <v>204</v>
      </c>
      <c r="H7" s="7" t="s">
        <v>68</v>
      </c>
      <c r="I7" s="7"/>
      <c r="J7" s="7"/>
      <c r="K7" s="7"/>
      <c r="L7" s="7"/>
    </row>
    <row r="8" spans="1:12" ht="26" x14ac:dyDescent="0.35">
      <c r="A8" s="7" t="s">
        <v>205</v>
      </c>
      <c r="B8" s="7" t="s">
        <v>183</v>
      </c>
      <c r="C8" s="7" t="s">
        <v>197</v>
      </c>
      <c r="D8" s="7" t="s">
        <v>206</v>
      </c>
      <c r="E8" s="7" t="s">
        <v>65</v>
      </c>
      <c r="F8" s="7" t="s">
        <v>207</v>
      </c>
      <c r="G8" s="7" t="s">
        <v>208</v>
      </c>
      <c r="H8" s="7" t="s">
        <v>73</v>
      </c>
      <c r="I8" s="7"/>
      <c r="J8" s="7"/>
      <c r="K8" s="7"/>
      <c r="L8" s="7"/>
    </row>
    <row r="9" spans="1:12" x14ac:dyDescent="0.35">
      <c r="A9" s="8" t="s">
        <v>209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9" x14ac:dyDescent="0.35">
      <c r="A10" s="7" t="s">
        <v>210</v>
      </c>
      <c r="B10" s="7" t="s">
        <v>183</v>
      </c>
      <c r="C10" s="7" t="s">
        <v>211</v>
      </c>
      <c r="D10" s="7" t="s">
        <v>212</v>
      </c>
      <c r="E10" s="7" t="s">
        <v>213</v>
      </c>
      <c r="F10" s="7" t="s">
        <v>214</v>
      </c>
      <c r="G10" s="7" t="s">
        <v>215</v>
      </c>
      <c r="H10" s="7" t="s">
        <v>57</v>
      </c>
      <c r="I10" s="7"/>
      <c r="J10" s="7"/>
      <c r="K10" s="7"/>
      <c r="L10" s="7"/>
    </row>
  </sheetData>
  <autoFilter ref="A1:L10" xr:uid="{00000000-0009-0000-0000-000003000000}"/>
  <mergeCells count="3">
    <mergeCell ref="A2:L2"/>
    <mergeCell ref="A5:L5"/>
    <mergeCell ref="A9:L9"/>
  </mergeCells>
  <dataValidations count="2">
    <dataValidation type="list" allowBlank="1" error="Lütfen geçerli bir sonuç seçin" prompt="Test sonucunu seçin" sqref="I3 I4 I6 I7 I8 I10" xr:uid="{00000000-0002-0000-0300-000000000000}">
      <formula1>"BAŞARILI,BAŞARISIZ,ATLANMIŞ,TEST EDİLMEDİ"</formula1>
    </dataValidation>
    <dataValidation type="list" allowBlank="1" sqref="H3 H4 H6 H7 H8 H10" xr:uid="{00000000-0002-0000-0300-000001000000}">
      <formula1>"KRİTİK,YÜKSEK,ORTA,DÜŞÜK"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216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217</v>
      </c>
      <c r="B3" s="7" t="s">
        <v>218</v>
      </c>
      <c r="C3" s="7" t="s">
        <v>123</v>
      </c>
      <c r="D3" s="7" t="s">
        <v>219</v>
      </c>
      <c r="E3" s="7" t="s">
        <v>220</v>
      </c>
      <c r="F3" s="7" t="s">
        <v>221</v>
      </c>
      <c r="G3" s="7" t="s">
        <v>222</v>
      </c>
      <c r="H3" s="7" t="s">
        <v>57</v>
      </c>
      <c r="I3" s="7"/>
      <c r="J3" s="7"/>
      <c r="K3" s="7"/>
      <c r="L3" s="7"/>
    </row>
    <row r="4" spans="1:12" ht="39" x14ac:dyDescent="0.35">
      <c r="A4" s="7" t="s">
        <v>223</v>
      </c>
      <c r="B4" s="7" t="s">
        <v>218</v>
      </c>
      <c r="C4" s="7" t="s">
        <v>135</v>
      </c>
      <c r="D4" s="7" t="s">
        <v>224</v>
      </c>
      <c r="E4" s="7" t="s">
        <v>142</v>
      </c>
      <c r="F4" s="7" t="s">
        <v>225</v>
      </c>
      <c r="G4" s="7" t="s">
        <v>226</v>
      </c>
      <c r="H4" s="7" t="s">
        <v>57</v>
      </c>
      <c r="I4" s="7"/>
      <c r="J4" s="7"/>
      <c r="K4" s="7"/>
      <c r="L4" s="7"/>
    </row>
    <row r="5" spans="1:12" ht="26" x14ac:dyDescent="0.35">
      <c r="A5" s="7" t="s">
        <v>227</v>
      </c>
      <c r="B5" s="7" t="s">
        <v>218</v>
      </c>
      <c r="C5" s="7" t="s">
        <v>228</v>
      </c>
      <c r="D5" s="7" t="s">
        <v>229</v>
      </c>
      <c r="E5" s="7" t="s">
        <v>230</v>
      </c>
      <c r="F5" s="7" t="s">
        <v>231</v>
      </c>
      <c r="G5" s="7" t="s">
        <v>232</v>
      </c>
      <c r="H5" s="7" t="s">
        <v>68</v>
      </c>
      <c r="I5" s="7"/>
      <c r="J5" s="7"/>
      <c r="K5" s="7"/>
      <c r="L5" s="7"/>
    </row>
    <row r="6" spans="1:12" ht="26" x14ac:dyDescent="0.35">
      <c r="A6" s="7" t="s">
        <v>233</v>
      </c>
      <c r="B6" s="7" t="s">
        <v>218</v>
      </c>
      <c r="C6" s="7" t="s">
        <v>160</v>
      </c>
      <c r="D6" s="7" t="s">
        <v>234</v>
      </c>
      <c r="E6" s="7" t="s">
        <v>235</v>
      </c>
      <c r="F6" s="7" t="s">
        <v>236</v>
      </c>
      <c r="G6" s="7" t="s">
        <v>237</v>
      </c>
      <c r="H6" s="7" t="s">
        <v>68</v>
      </c>
      <c r="I6" s="7"/>
      <c r="J6" s="7"/>
      <c r="K6" s="7"/>
      <c r="L6" s="7"/>
    </row>
    <row r="7" spans="1:12" ht="26" x14ac:dyDescent="0.35">
      <c r="A7" s="7" t="s">
        <v>238</v>
      </c>
      <c r="B7" s="7" t="s">
        <v>218</v>
      </c>
      <c r="C7" s="7" t="s">
        <v>95</v>
      </c>
      <c r="D7" s="7" t="s">
        <v>239</v>
      </c>
      <c r="E7" s="7" t="s">
        <v>240</v>
      </c>
      <c r="F7" s="7" t="s">
        <v>241</v>
      </c>
      <c r="G7" s="7" t="s">
        <v>104</v>
      </c>
      <c r="H7" s="7" t="s">
        <v>68</v>
      </c>
      <c r="I7" s="7"/>
      <c r="J7" s="7"/>
      <c r="K7" s="7"/>
      <c r="L7" s="7"/>
    </row>
  </sheetData>
  <autoFilter ref="A1:L7" xr:uid="{00000000-0009-0000-0000-000004000000}"/>
  <mergeCells count="1">
    <mergeCell ref="A2:L2"/>
  </mergeCells>
  <dataValidations count="2">
    <dataValidation type="list" allowBlank="1" error="Lütfen geçerli bir sonuç seçin" prompt="Test sonucunu seçin" sqref="I3 I4 I5 I6 I7" xr:uid="{00000000-0002-0000-0400-000000000000}">
      <formula1>"BAŞARILI,BAŞARISIZ,ATLANMIŞ,TEST EDİLMEDİ"</formula1>
    </dataValidation>
    <dataValidation type="list" allowBlank="1" sqref="H3 H4 H5 H6 H7" xr:uid="{00000000-0002-0000-0400-000001000000}">
      <formula1>"KRİTİK,YÜKSEK,ORTA,DÜŞÜK"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242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243</v>
      </c>
      <c r="B3" s="7" t="s">
        <v>244</v>
      </c>
      <c r="C3" s="7" t="s">
        <v>123</v>
      </c>
      <c r="D3" s="7" t="s">
        <v>245</v>
      </c>
      <c r="E3" s="7" t="s">
        <v>246</v>
      </c>
      <c r="F3" s="7" t="s">
        <v>247</v>
      </c>
      <c r="G3" s="7" t="s">
        <v>248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249</v>
      </c>
      <c r="B4" s="7" t="s">
        <v>244</v>
      </c>
      <c r="C4" s="7" t="s">
        <v>123</v>
      </c>
      <c r="D4" s="7" t="s">
        <v>250</v>
      </c>
      <c r="E4" s="7" t="s">
        <v>251</v>
      </c>
      <c r="F4" s="7" t="s">
        <v>252</v>
      </c>
      <c r="G4" s="7" t="s">
        <v>253</v>
      </c>
      <c r="H4" s="7" t="s">
        <v>68</v>
      </c>
      <c r="I4" s="7"/>
      <c r="J4" s="7"/>
      <c r="K4" s="7"/>
      <c r="L4" s="7"/>
    </row>
    <row r="5" spans="1:12" ht="39" x14ac:dyDescent="0.35">
      <c r="A5" s="7" t="s">
        <v>254</v>
      </c>
      <c r="B5" s="7" t="s">
        <v>244</v>
      </c>
      <c r="C5" s="7" t="s">
        <v>135</v>
      </c>
      <c r="D5" s="7" t="s">
        <v>255</v>
      </c>
      <c r="E5" s="7" t="s">
        <v>65</v>
      </c>
      <c r="F5" s="7" t="s">
        <v>256</v>
      </c>
      <c r="G5" s="7" t="s">
        <v>257</v>
      </c>
      <c r="H5" s="7" t="s">
        <v>57</v>
      </c>
      <c r="I5" s="7"/>
      <c r="J5" s="7"/>
      <c r="K5" s="7"/>
      <c r="L5" s="7"/>
    </row>
    <row r="6" spans="1:12" x14ac:dyDescent="0.35">
      <c r="A6" s="8" t="s">
        <v>258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9" x14ac:dyDescent="0.35">
      <c r="A7" s="7" t="s">
        <v>259</v>
      </c>
      <c r="B7" s="7" t="s">
        <v>244</v>
      </c>
      <c r="C7" s="7" t="s">
        <v>260</v>
      </c>
      <c r="D7" s="7" t="s">
        <v>261</v>
      </c>
      <c r="E7" s="7" t="s">
        <v>262</v>
      </c>
      <c r="F7" s="7" t="s">
        <v>263</v>
      </c>
      <c r="G7" s="7" t="s">
        <v>264</v>
      </c>
      <c r="H7" s="7" t="s">
        <v>57</v>
      </c>
      <c r="I7" s="7"/>
      <c r="J7" s="7"/>
      <c r="K7" s="7"/>
      <c r="L7" s="7"/>
    </row>
    <row r="8" spans="1:12" ht="26" x14ac:dyDescent="0.35">
      <c r="A8" s="7" t="s">
        <v>265</v>
      </c>
      <c r="B8" s="7" t="s">
        <v>244</v>
      </c>
      <c r="C8" s="7" t="s">
        <v>260</v>
      </c>
      <c r="D8" s="7" t="s">
        <v>266</v>
      </c>
      <c r="E8" s="7" t="s">
        <v>267</v>
      </c>
      <c r="F8" s="7" t="s">
        <v>268</v>
      </c>
      <c r="G8" s="7" t="s">
        <v>208</v>
      </c>
      <c r="H8" s="7" t="s">
        <v>68</v>
      </c>
      <c r="I8" s="7"/>
      <c r="J8" s="7"/>
      <c r="K8" s="7"/>
      <c r="L8" s="7"/>
    </row>
    <row r="9" spans="1:12" ht="26" x14ac:dyDescent="0.35">
      <c r="A9" s="7" t="s">
        <v>269</v>
      </c>
      <c r="B9" s="7" t="s">
        <v>244</v>
      </c>
      <c r="C9" s="7" t="s">
        <v>260</v>
      </c>
      <c r="D9" s="7" t="s">
        <v>270</v>
      </c>
      <c r="E9" s="7" t="s">
        <v>271</v>
      </c>
      <c r="F9" s="7" t="s">
        <v>272</v>
      </c>
      <c r="G9" s="7" t="s">
        <v>168</v>
      </c>
      <c r="H9" s="7" t="s">
        <v>68</v>
      </c>
      <c r="I9" s="7"/>
      <c r="J9" s="7"/>
      <c r="K9" s="7"/>
      <c r="L9" s="7"/>
    </row>
  </sheetData>
  <autoFilter ref="A1:L9" xr:uid="{00000000-0009-0000-0000-000005000000}"/>
  <mergeCells count="2">
    <mergeCell ref="A2:L2"/>
    <mergeCell ref="A6:L6"/>
  </mergeCells>
  <dataValidations count="2">
    <dataValidation type="list" allowBlank="1" error="Lütfen geçerli bir sonuç seçin" prompt="Test sonucunu seçin" sqref="I3 I4 I5 I7 I8 I9" xr:uid="{00000000-0002-0000-0500-000000000000}">
      <formula1>"BAŞARILI,BAŞARISIZ,ATLANMIŞ,TEST EDİLMEDİ"</formula1>
    </dataValidation>
    <dataValidation type="list" allowBlank="1" sqref="H3 H4 H5 H7 H8 H9" xr:uid="{00000000-0002-0000-0500-000001000000}">
      <formula1>"KRİTİK,YÜKSEK,ORTA,DÜŞÜK"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273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274</v>
      </c>
      <c r="B3" s="7" t="s">
        <v>275</v>
      </c>
      <c r="C3" s="7" t="s">
        <v>123</v>
      </c>
      <c r="D3" s="7" t="s">
        <v>276</v>
      </c>
      <c r="E3" s="7" t="s">
        <v>277</v>
      </c>
      <c r="F3" s="7" t="s">
        <v>278</v>
      </c>
      <c r="G3" s="7" t="s">
        <v>279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280</v>
      </c>
      <c r="B4" s="7" t="s">
        <v>275</v>
      </c>
      <c r="C4" s="7" t="s">
        <v>123</v>
      </c>
      <c r="D4" s="7" t="s">
        <v>281</v>
      </c>
      <c r="E4" s="7" t="s">
        <v>282</v>
      </c>
      <c r="F4" s="7" t="s">
        <v>283</v>
      </c>
      <c r="G4" s="7" t="s">
        <v>284</v>
      </c>
      <c r="H4" s="7" t="s">
        <v>68</v>
      </c>
      <c r="I4" s="7"/>
      <c r="J4" s="7"/>
      <c r="K4" s="7"/>
      <c r="L4" s="7"/>
    </row>
    <row r="5" spans="1:12" ht="26" x14ac:dyDescent="0.35">
      <c r="A5" s="7" t="s">
        <v>285</v>
      </c>
      <c r="B5" s="7" t="s">
        <v>275</v>
      </c>
      <c r="C5" s="7" t="s">
        <v>286</v>
      </c>
      <c r="D5" s="7" t="s">
        <v>287</v>
      </c>
      <c r="E5" s="7" t="s">
        <v>288</v>
      </c>
      <c r="F5" s="7" t="s">
        <v>289</v>
      </c>
      <c r="G5" s="7" t="s">
        <v>290</v>
      </c>
      <c r="H5" s="7" t="s">
        <v>68</v>
      </c>
      <c r="I5" s="7"/>
      <c r="J5" s="7"/>
      <c r="K5" s="7"/>
      <c r="L5" s="7"/>
    </row>
    <row r="6" spans="1:12" ht="26" x14ac:dyDescent="0.35">
      <c r="A6" s="7" t="s">
        <v>291</v>
      </c>
      <c r="B6" s="7" t="s">
        <v>275</v>
      </c>
      <c r="C6" s="7" t="s">
        <v>292</v>
      </c>
      <c r="D6" s="7" t="s">
        <v>293</v>
      </c>
      <c r="E6" s="7" t="s">
        <v>294</v>
      </c>
      <c r="F6" s="7" t="s">
        <v>295</v>
      </c>
      <c r="G6" s="7" t="s">
        <v>296</v>
      </c>
      <c r="H6" s="7" t="s">
        <v>73</v>
      </c>
      <c r="I6" s="7"/>
      <c r="J6" s="7"/>
      <c r="K6" s="7"/>
      <c r="L6" s="7"/>
    </row>
    <row r="7" spans="1:12" ht="39" x14ac:dyDescent="0.35">
      <c r="A7" s="7" t="s">
        <v>297</v>
      </c>
      <c r="B7" s="7" t="s">
        <v>275</v>
      </c>
      <c r="C7" s="7" t="s">
        <v>298</v>
      </c>
      <c r="D7" s="7" t="s">
        <v>299</v>
      </c>
      <c r="E7" s="7" t="s">
        <v>282</v>
      </c>
      <c r="F7" s="7" t="s">
        <v>300</v>
      </c>
      <c r="G7" s="7" t="s">
        <v>301</v>
      </c>
      <c r="H7" s="7" t="s">
        <v>57</v>
      </c>
      <c r="I7" s="7"/>
      <c r="J7" s="7"/>
      <c r="K7" s="7"/>
      <c r="L7" s="7"/>
    </row>
    <row r="8" spans="1:12" ht="26" x14ac:dyDescent="0.35">
      <c r="A8" s="7" t="s">
        <v>302</v>
      </c>
      <c r="B8" s="7" t="s">
        <v>275</v>
      </c>
      <c r="C8" s="7" t="s">
        <v>160</v>
      </c>
      <c r="D8" s="7" t="s">
        <v>303</v>
      </c>
      <c r="E8" s="7" t="s">
        <v>304</v>
      </c>
      <c r="F8" s="7" t="s">
        <v>305</v>
      </c>
      <c r="G8" s="7" t="s">
        <v>306</v>
      </c>
      <c r="H8" s="7" t="s">
        <v>68</v>
      </c>
      <c r="I8" s="7"/>
      <c r="J8" s="7"/>
      <c r="K8" s="7"/>
      <c r="L8" s="7"/>
    </row>
    <row r="9" spans="1:12" x14ac:dyDescent="0.35">
      <c r="A9" s="8" t="s">
        <v>307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9" x14ac:dyDescent="0.35">
      <c r="A10" s="7" t="s">
        <v>308</v>
      </c>
      <c r="B10" s="7" t="s">
        <v>309</v>
      </c>
      <c r="C10" s="7" t="s">
        <v>123</v>
      </c>
      <c r="D10" s="7" t="s">
        <v>310</v>
      </c>
      <c r="E10" s="7" t="s">
        <v>311</v>
      </c>
      <c r="F10" s="7" t="s">
        <v>312</v>
      </c>
      <c r="G10" s="7" t="s">
        <v>313</v>
      </c>
      <c r="H10" s="7" t="s">
        <v>57</v>
      </c>
      <c r="I10" s="7"/>
      <c r="J10" s="7"/>
      <c r="K10" s="7"/>
      <c r="L10" s="7"/>
    </row>
    <row r="11" spans="1:12" ht="26" x14ac:dyDescent="0.35">
      <c r="A11" s="7" t="s">
        <v>314</v>
      </c>
      <c r="B11" s="7" t="s">
        <v>309</v>
      </c>
      <c r="C11" s="7" t="s">
        <v>286</v>
      </c>
      <c r="D11" s="7" t="s">
        <v>315</v>
      </c>
      <c r="E11" s="7" t="s">
        <v>316</v>
      </c>
      <c r="F11" s="7" t="s">
        <v>317</v>
      </c>
      <c r="G11" s="7" t="s">
        <v>318</v>
      </c>
      <c r="H11" s="7" t="s">
        <v>68</v>
      </c>
      <c r="I11" s="7"/>
      <c r="J11" s="7"/>
      <c r="K11" s="7"/>
      <c r="L11" s="7"/>
    </row>
    <row r="12" spans="1:12" ht="39" x14ac:dyDescent="0.35">
      <c r="A12" s="7" t="s">
        <v>319</v>
      </c>
      <c r="B12" s="7" t="s">
        <v>309</v>
      </c>
      <c r="C12" s="7" t="s">
        <v>320</v>
      </c>
      <c r="D12" s="7" t="s">
        <v>321</v>
      </c>
      <c r="E12" s="7" t="s">
        <v>322</v>
      </c>
      <c r="F12" s="7" t="s">
        <v>323</v>
      </c>
      <c r="G12" s="7" t="s">
        <v>324</v>
      </c>
      <c r="H12" s="7" t="s">
        <v>73</v>
      </c>
      <c r="I12" s="7"/>
      <c r="J12" s="7"/>
      <c r="K12" s="7"/>
      <c r="L12" s="7"/>
    </row>
  </sheetData>
  <autoFilter ref="A1:L12" xr:uid="{00000000-0009-0000-0000-000006000000}"/>
  <mergeCells count="2">
    <mergeCell ref="A2:L2"/>
    <mergeCell ref="A9:L9"/>
  </mergeCells>
  <dataValidations count="2">
    <dataValidation type="list" allowBlank="1" error="Lütfen geçerli bir sonuç seçin" prompt="Test sonucunu seçin" sqref="I3 I4 I5 I6 I7 I8 I10 I11 I12" xr:uid="{00000000-0002-0000-0600-000000000000}">
      <formula1>"BAŞARILI,BAŞARISIZ,ATLANMIŞ,TEST EDİLMEDİ"</formula1>
    </dataValidation>
    <dataValidation type="list" allowBlank="1" sqref="H3 H4 H5 H6 H7 H8 H10 H11 H12" xr:uid="{00000000-0002-0000-0600-000001000000}">
      <formula1>"KRİTİK,YÜKSEK,ORTA,DÜŞÜK"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325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65" x14ac:dyDescent="0.35">
      <c r="A3" s="7" t="s">
        <v>326</v>
      </c>
      <c r="B3" s="7" t="s">
        <v>327</v>
      </c>
      <c r="C3" s="7" t="s">
        <v>328</v>
      </c>
      <c r="D3" s="7" t="s">
        <v>329</v>
      </c>
      <c r="E3" s="7" t="s">
        <v>330</v>
      </c>
      <c r="F3" s="7" t="s">
        <v>331</v>
      </c>
      <c r="G3" s="7" t="s">
        <v>332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333</v>
      </c>
      <c r="B4" s="7" t="s">
        <v>327</v>
      </c>
      <c r="C4" s="7" t="s">
        <v>328</v>
      </c>
      <c r="D4" s="7" t="s">
        <v>334</v>
      </c>
      <c r="E4" s="7" t="s">
        <v>335</v>
      </c>
      <c r="F4" s="7" t="s">
        <v>336</v>
      </c>
      <c r="G4" s="7" t="s">
        <v>337</v>
      </c>
      <c r="H4" s="7" t="s">
        <v>68</v>
      </c>
      <c r="I4" s="7"/>
      <c r="J4" s="7"/>
      <c r="K4" s="7"/>
      <c r="L4" s="7"/>
    </row>
    <row r="5" spans="1:12" ht="39" x14ac:dyDescent="0.35">
      <c r="A5" s="7" t="s">
        <v>338</v>
      </c>
      <c r="B5" s="7" t="s">
        <v>327</v>
      </c>
      <c r="C5" s="7" t="s">
        <v>328</v>
      </c>
      <c r="D5" s="7" t="s">
        <v>339</v>
      </c>
      <c r="E5" s="7" t="s">
        <v>340</v>
      </c>
      <c r="F5" s="7" t="s">
        <v>341</v>
      </c>
      <c r="G5" s="7" t="s">
        <v>342</v>
      </c>
      <c r="H5" s="7" t="s">
        <v>57</v>
      </c>
      <c r="I5" s="7"/>
      <c r="J5" s="7"/>
      <c r="K5" s="7"/>
      <c r="L5" s="7"/>
    </row>
    <row r="6" spans="1:12" ht="39" x14ac:dyDescent="0.35">
      <c r="A6" s="7" t="s">
        <v>343</v>
      </c>
      <c r="B6" s="7" t="s">
        <v>327</v>
      </c>
      <c r="C6" s="7" t="s">
        <v>328</v>
      </c>
      <c r="D6" s="7" t="s">
        <v>344</v>
      </c>
      <c r="E6" s="7" t="s">
        <v>345</v>
      </c>
      <c r="F6" s="7" t="s">
        <v>346</v>
      </c>
      <c r="G6" s="7" t="s">
        <v>347</v>
      </c>
      <c r="H6" s="7" t="s">
        <v>68</v>
      </c>
      <c r="I6" s="7"/>
      <c r="J6" s="7"/>
      <c r="K6" s="7"/>
      <c r="L6" s="7"/>
    </row>
    <row r="7" spans="1:12" x14ac:dyDescent="0.35">
      <c r="A7" s="8" t="s">
        <v>348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39" x14ac:dyDescent="0.35">
      <c r="A8" s="7" t="s">
        <v>349</v>
      </c>
      <c r="B8" s="7" t="s">
        <v>327</v>
      </c>
      <c r="C8" s="7" t="s">
        <v>350</v>
      </c>
      <c r="D8" s="7" t="s">
        <v>351</v>
      </c>
      <c r="E8" s="7" t="s">
        <v>352</v>
      </c>
      <c r="F8" s="7" t="s">
        <v>353</v>
      </c>
      <c r="G8" s="7" t="s">
        <v>354</v>
      </c>
      <c r="H8" s="7" t="s">
        <v>57</v>
      </c>
      <c r="I8" s="7"/>
      <c r="J8" s="7"/>
      <c r="K8" s="7"/>
      <c r="L8" s="7"/>
    </row>
    <row r="9" spans="1:12" ht="26" x14ac:dyDescent="0.35">
      <c r="A9" s="7" t="s">
        <v>355</v>
      </c>
      <c r="B9" s="7" t="s">
        <v>327</v>
      </c>
      <c r="C9" s="7" t="s">
        <v>350</v>
      </c>
      <c r="D9" s="7" t="s">
        <v>356</v>
      </c>
      <c r="E9" s="7" t="s">
        <v>335</v>
      </c>
      <c r="F9" s="7" t="s">
        <v>357</v>
      </c>
      <c r="G9" s="7" t="s">
        <v>358</v>
      </c>
      <c r="H9" s="7" t="s">
        <v>68</v>
      </c>
      <c r="I9" s="7"/>
      <c r="J9" s="7"/>
      <c r="K9" s="7"/>
      <c r="L9" s="7"/>
    </row>
    <row r="10" spans="1:12" ht="26" x14ac:dyDescent="0.35">
      <c r="A10" s="7" t="s">
        <v>359</v>
      </c>
      <c r="B10" s="7" t="s">
        <v>327</v>
      </c>
      <c r="C10" s="7" t="s">
        <v>350</v>
      </c>
      <c r="D10" s="7" t="s">
        <v>360</v>
      </c>
      <c r="E10" s="7" t="s">
        <v>335</v>
      </c>
      <c r="F10" s="7" t="s">
        <v>361</v>
      </c>
      <c r="G10" s="7" t="s">
        <v>362</v>
      </c>
      <c r="H10" s="7" t="s">
        <v>68</v>
      </c>
      <c r="I10" s="7"/>
      <c r="J10" s="7"/>
      <c r="K10" s="7"/>
      <c r="L10" s="7"/>
    </row>
    <row r="11" spans="1:12" x14ac:dyDescent="0.35">
      <c r="A11" s="8" t="s">
        <v>363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1:12" ht="39" x14ac:dyDescent="0.35">
      <c r="A12" s="7" t="s">
        <v>364</v>
      </c>
      <c r="B12" s="7" t="s">
        <v>327</v>
      </c>
      <c r="C12" s="7" t="s">
        <v>365</v>
      </c>
      <c r="D12" s="7" t="s">
        <v>366</v>
      </c>
      <c r="E12" s="7" t="s">
        <v>335</v>
      </c>
      <c r="F12" s="7" t="s">
        <v>367</v>
      </c>
      <c r="G12" s="7" t="s">
        <v>368</v>
      </c>
      <c r="H12" s="7" t="s">
        <v>57</v>
      </c>
      <c r="I12" s="7"/>
      <c r="J12" s="7"/>
      <c r="K12" s="7"/>
      <c r="L12" s="7"/>
    </row>
    <row r="13" spans="1:12" ht="52" x14ac:dyDescent="0.35">
      <c r="A13" s="7" t="s">
        <v>369</v>
      </c>
      <c r="B13" s="7" t="s">
        <v>327</v>
      </c>
      <c r="C13" s="7" t="s">
        <v>370</v>
      </c>
      <c r="D13" s="7" t="s">
        <v>371</v>
      </c>
      <c r="E13" s="7" t="s">
        <v>335</v>
      </c>
      <c r="F13" s="7" t="s">
        <v>372</v>
      </c>
      <c r="G13" s="7" t="s">
        <v>373</v>
      </c>
      <c r="H13" s="7" t="s">
        <v>73</v>
      </c>
      <c r="I13" s="7"/>
      <c r="J13" s="7"/>
      <c r="K13" s="7"/>
      <c r="L13" s="7"/>
    </row>
    <row r="14" spans="1:12" x14ac:dyDescent="0.35">
      <c r="A14" s="8" t="s">
        <v>374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52" x14ac:dyDescent="0.35">
      <c r="A15" s="7" t="s">
        <v>375</v>
      </c>
      <c r="B15" s="7" t="s">
        <v>327</v>
      </c>
      <c r="C15" s="7" t="s">
        <v>376</v>
      </c>
      <c r="D15" s="7" t="s">
        <v>377</v>
      </c>
      <c r="E15" s="7" t="s">
        <v>378</v>
      </c>
      <c r="F15" s="7" t="s">
        <v>379</v>
      </c>
      <c r="G15" s="7" t="s">
        <v>380</v>
      </c>
      <c r="H15" s="7" t="s">
        <v>68</v>
      </c>
      <c r="I15" s="7"/>
      <c r="J15" s="7"/>
      <c r="K15" s="7"/>
      <c r="L15" s="7"/>
    </row>
    <row r="16" spans="1:12" ht="39" x14ac:dyDescent="0.35">
      <c r="A16" s="7" t="s">
        <v>381</v>
      </c>
      <c r="B16" s="7" t="s">
        <v>327</v>
      </c>
      <c r="C16" s="7" t="s">
        <v>382</v>
      </c>
      <c r="D16" s="7" t="s">
        <v>383</v>
      </c>
      <c r="E16" s="7" t="s">
        <v>335</v>
      </c>
      <c r="F16" s="7" t="s">
        <v>384</v>
      </c>
      <c r="G16" s="7" t="s">
        <v>385</v>
      </c>
      <c r="H16" s="7" t="s">
        <v>73</v>
      </c>
      <c r="I16" s="7"/>
      <c r="J16" s="7"/>
      <c r="K16" s="7"/>
      <c r="L16" s="7"/>
    </row>
  </sheetData>
  <autoFilter ref="A1:L16" xr:uid="{00000000-0009-0000-0000-000007000000}"/>
  <mergeCells count="4">
    <mergeCell ref="A11:L11"/>
    <mergeCell ref="A14:L14"/>
    <mergeCell ref="A2:L2"/>
    <mergeCell ref="A7:L7"/>
  </mergeCells>
  <dataValidations count="2">
    <dataValidation type="list" allowBlank="1" error="Lütfen geçerli bir sonuç seçin" prompt="Test sonucunu seçin" sqref="I3 I4 I5 I6 I8 I9 I10 I12 I13 I15 I16" xr:uid="{00000000-0002-0000-0700-000000000000}">
      <formula1>"BAŞARILI,BAŞARISIZ,ATLANMIŞ,TEST EDİLMEDİ"</formula1>
    </dataValidation>
    <dataValidation type="list" allowBlank="1" sqref="H3 H4 H5 H6 H8 H9 H10 H12 H13 H15 H16" xr:uid="{00000000-0002-0000-0700-000001000000}">
      <formula1>"KRİTİK,YÜKSEK,ORTA,DÜŞÜK"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386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26" x14ac:dyDescent="0.35">
      <c r="A3" s="7" t="s">
        <v>387</v>
      </c>
      <c r="B3" s="7" t="s">
        <v>328</v>
      </c>
      <c r="C3" s="7" t="s">
        <v>388</v>
      </c>
      <c r="D3" s="7" t="s">
        <v>389</v>
      </c>
      <c r="E3" s="7" t="s">
        <v>65</v>
      </c>
      <c r="F3" s="7" t="s">
        <v>390</v>
      </c>
      <c r="G3" s="7" t="s">
        <v>391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392</v>
      </c>
      <c r="B4" s="7" t="s">
        <v>328</v>
      </c>
      <c r="C4" s="7" t="s">
        <v>388</v>
      </c>
      <c r="D4" s="7" t="s">
        <v>393</v>
      </c>
      <c r="E4" s="7" t="s">
        <v>394</v>
      </c>
      <c r="F4" s="7" t="s">
        <v>395</v>
      </c>
      <c r="G4" s="7" t="s">
        <v>396</v>
      </c>
      <c r="H4" s="7" t="s">
        <v>68</v>
      </c>
      <c r="I4" s="7"/>
      <c r="J4" s="7"/>
      <c r="K4" s="7"/>
      <c r="L4" s="7"/>
    </row>
    <row r="5" spans="1:12" ht="26" x14ac:dyDescent="0.35">
      <c r="A5" s="7" t="s">
        <v>397</v>
      </c>
      <c r="B5" s="7" t="s">
        <v>328</v>
      </c>
      <c r="C5" s="7" t="s">
        <v>388</v>
      </c>
      <c r="D5" s="7" t="s">
        <v>398</v>
      </c>
      <c r="E5" s="7" t="s">
        <v>399</v>
      </c>
      <c r="F5" s="7" t="s">
        <v>400</v>
      </c>
      <c r="G5" s="7" t="s">
        <v>401</v>
      </c>
      <c r="H5" s="7" t="s">
        <v>68</v>
      </c>
      <c r="I5" s="7"/>
      <c r="J5" s="7"/>
      <c r="K5" s="7"/>
      <c r="L5" s="7"/>
    </row>
    <row r="6" spans="1:12" x14ac:dyDescent="0.35">
      <c r="A6" s="8" t="s">
        <v>402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9" x14ac:dyDescent="0.35">
      <c r="A7" s="7" t="s">
        <v>403</v>
      </c>
      <c r="B7" s="7" t="s">
        <v>328</v>
      </c>
      <c r="C7" s="7" t="s">
        <v>404</v>
      </c>
      <c r="D7" s="7" t="s">
        <v>405</v>
      </c>
      <c r="E7" s="7" t="s">
        <v>406</v>
      </c>
      <c r="F7" s="7" t="s">
        <v>407</v>
      </c>
      <c r="G7" s="7" t="s">
        <v>408</v>
      </c>
      <c r="H7" s="7" t="s">
        <v>57</v>
      </c>
      <c r="I7" s="7"/>
      <c r="J7" s="7"/>
      <c r="K7" s="7"/>
      <c r="L7" s="7"/>
    </row>
    <row r="8" spans="1:12" ht="39" x14ac:dyDescent="0.35">
      <c r="A8" s="7" t="s">
        <v>409</v>
      </c>
      <c r="B8" s="7" t="s">
        <v>328</v>
      </c>
      <c r="C8" s="7" t="s">
        <v>404</v>
      </c>
      <c r="D8" s="7" t="s">
        <v>410</v>
      </c>
      <c r="E8" s="7" t="s">
        <v>411</v>
      </c>
      <c r="F8" s="7" t="s">
        <v>412</v>
      </c>
      <c r="G8" s="7" t="s">
        <v>413</v>
      </c>
      <c r="H8" s="7" t="s">
        <v>68</v>
      </c>
      <c r="I8" s="7"/>
      <c r="J8" s="7"/>
      <c r="K8" s="7"/>
      <c r="L8" s="7"/>
    </row>
    <row r="9" spans="1:12" ht="26" x14ac:dyDescent="0.35">
      <c r="A9" s="7" t="s">
        <v>414</v>
      </c>
      <c r="B9" s="7" t="s">
        <v>328</v>
      </c>
      <c r="C9" s="7" t="s">
        <v>404</v>
      </c>
      <c r="D9" s="7" t="s">
        <v>415</v>
      </c>
      <c r="E9" s="7" t="s">
        <v>399</v>
      </c>
      <c r="F9" s="7" t="s">
        <v>416</v>
      </c>
      <c r="G9" s="7" t="s">
        <v>417</v>
      </c>
      <c r="H9" s="7" t="s">
        <v>73</v>
      </c>
      <c r="I9" s="7"/>
      <c r="J9" s="7"/>
      <c r="K9" s="7"/>
      <c r="L9" s="7"/>
    </row>
    <row r="10" spans="1:12" ht="39" x14ac:dyDescent="0.35">
      <c r="A10" s="7" t="s">
        <v>418</v>
      </c>
      <c r="B10" s="7" t="s">
        <v>328</v>
      </c>
      <c r="C10" s="7" t="s">
        <v>404</v>
      </c>
      <c r="D10" s="7" t="s">
        <v>419</v>
      </c>
      <c r="E10" s="7" t="s">
        <v>420</v>
      </c>
      <c r="F10" s="7" t="s">
        <v>421</v>
      </c>
      <c r="G10" s="7" t="s">
        <v>422</v>
      </c>
      <c r="H10" s="7" t="s">
        <v>73</v>
      </c>
      <c r="I10" s="7"/>
      <c r="J10" s="7"/>
      <c r="K10" s="7"/>
      <c r="L10" s="7"/>
    </row>
  </sheetData>
  <autoFilter ref="A1:L10" xr:uid="{00000000-0009-0000-0000-000008000000}"/>
  <mergeCells count="2">
    <mergeCell ref="A2:L2"/>
    <mergeCell ref="A6:L6"/>
  </mergeCells>
  <dataValidations count="2">
    <dataValidation type="list" allowBlank="1" error="Lütfen geçerli bir sonuç seçin" prompt="Test sonucunu seçin" sqref="I3 I4 I5 I7 I8 I9 I10" xr:uid="{00000000-0002-0000-0800-000000000000}">
      <formula1>"BAŞARILI,BAŞARISIZ,ATLANMIŞ,TEST EDİLMEDİ"</formula1>
    </dataValidation>
    <dataValidation type="list" allowBlank="1" sqref="H3 H4 H5 H7 H8 H9 H10" xr:uid="{00000000-0002-0000-0800-000001000000}">
      <formula1>"KRİTİK,YÜKSEK,ORTA,DÜŞÜK"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423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424</v>
      </c>
      <c r="B3" s="7" t="s">
        <v>425</v>
      </c>
      <c r="C3" s="7" t="s">
        <v>426</v>
      </c>
      <c r="D3" s="7" t="s">
        <v>427</v>
      </c>
      <c r="E3" s="7" t="s">
        <v>142</v>
      </c>
      <c r="F3" s="7" t="s">
        <v>428</v>
      </c>
      <c r="G3" s="7" t="s">
        <v>429</v>
      </c>
      <c r="H3" s="7" t="s">
        <v>57</v>
      </c>
      <c r="I3" s="7"/>
      <c r="J3" s="7"/>
      <c r="K3" s="7"/>
      <c r="L3" s="7"/>
    </row>
    <row r="4" spans="1:12" ht="26" x14ac:dyDescent="0.35">
      <c r="A4" s="7" t="s">
        <v>430</v>
      </c>
      <c r="B4" s="7" t="s">
        <v>425</v>
      </c>
      <c r="C4" s="7" t="s">
        <v>426</v>
      </c>
      <c r="D4" s="7" t="s">
        <v>431</v>
      </c>
      <c r="E4" s="7" t="s">
        <v>432</v>
      </c>
      <c r="F4" s="7" t="s">
        <v>433</v>
      </c>
      <c r="G4" s="7" t="s">
        <v>434</v>
      </c>
      <c r="H4" s="7" t="s">
        <v>68</v>
      </c>
      <c r="I4" s="7"/>
      <c r="J4" s="7"/>
      <c r="K4" s="7"/>
      <c r="L4" s="7"/>
    </row>
    <row r="5" spans="1:12" ht="39" x14ac:dyDescent="0.35">
      <c r="A5" s="7" t="s">
        <v>435</v>
      </c>
      <c r="B5" s="7" t="s">
        <v>425</v>
      </c>
      <c r="C5" s="7" t="s">
        <v>426</v>
      </c>
      <c r="D5" s="7" t="s">
        <v>436</v>
      </c>
      <c r="E5" s="7" t="s">
        <v>142</v>
      </c>
      <c r="F5" s="7" t="s">
        <v>437</v>
      </c>
      <c r="G5" s="7" t="s">
        <v>438</v>
      </c>
      <c r="H5" s="7" t="s">
        <v>68</v>
      </c>
      <c r="I5" s="7"/>
      <c r="J5" s="7"/>
      <c r="K5" s="7"/>
      <c r="L5" s="7"/>
    </row>
    <row r="6" spans="1:12" ht="26" x14ac:dyDescent="0.35">
      <c r="A6" s="7" t="s">
        <v>439</v>
      </c>
      <c r="B6" s="7" t="s">
        <v>425</v>
      </c>
      <c r="C6" s="7" t="s">
        <v>426</v>
      </c>
      <c r="D6" s="7" t="s">
        <v>440</v>
      </c>
      <c r="E6" s="7" t="s">
        <v>441</v>
      </c>
      <c r="F6" s="7" t="s">
        <v>442</v>
      </c>
      <c r="G6" s="7" t="s">
        <v>443</v>
      </c>
      <c r="H6" s="7" t="s">
        <v>68</v>
      </c>
      <c r="I6" s="7"/>
      <c r="J6" s="7"/>
      <c r="K6" s="7"/>
      <c r="L6" s="7"/>
    </row>
    <row r="7" spans="1:12" x14ac:dyDescent="0.35">
      <c r="A7" s="8" t="s">
        <v>444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52" x14ac:dyDescent="0.35">
      <c r="A8" s="7" t="s">
        <v>445</v>
      </c>
      <c r="B8" s="7" t="s">
        <v>425</v>
      </c>
      <c r="C8" s="7" t="s">
        <v>446</v>
      </c>
      <c r="D8" s="7" t="s">
        <v>447</v>
      </c>
      <c r="E8" s="7" t="s">
        <v>448</v>
      </c>
      <c r="F8" s="7" t="s">
        <v>449</v>
      </c>
      <c r="G8" s="7" t="s">
        <v>450</v>
      </c>
      <c r="H8" s="7" t="s">
        <v>57</v>
      </c>
      <c r="I8" s="7"/>
      <c r="J8" s="7"/>
      <c r="K8" s="7"/>
      <c r="L8" s="7"/>
    </row>
    <row r="9" spans="1:12" ht="78" x14ac:dyDescent="0.35">
      <c r="A9" s="7" t="s">
        <v>451</v>
      </c>
      <c r="B9" s="7" t="s">
        <v>425</v>
      </c>
      <c r="C9" s="7" t="s">
        <v>452</v>
      </c>
      <c r="D9" s="7" t="s">
        <v>453</v>
      </c>
      <c r="E9" s="7" t="s">
        <v>142</v>
      </c>
      <c r="F9" s="7" t="s">
        <v>454</v>
      </c>
      <c r="G9" s="7" t="s">
        <v>455</v>
      </c>
      <c r="H9" s="7" t="s">
        <v>57</v>
      </c>
      <c r="I9" s="7"/>
      <c r="J9" s="7"/>
      <c r="K9" s="7"/>
      <c r="L9" s="7"/>
    </row>
  </sheetData>
  <autoFilter ref="A1:L9" xr:uid="{00000000-0009-0000-0000-000009000000}"/>
  <mergeCells count="2">
    <mergeCell ref="A2:L2"/>
    <mergeCell ref="A7:L7"/>
  </mergeCells>
  <dataValidations count="2">
    <dataValidation type="list" allowBlank="1" error="Lütfen geçerli bir sonuç seçin" prompt="Test sonucunu seçin" sqref="I3 I4 I5 I6 I8 I9" xr:uid="{00000000-0002-0000-0900-000000000000}">
      <formula1>"BAŞARILI,BAŞARISIZ,ATLANMIŞ,TEST EDİLMEDİ"</formula1>
    </dataValidation>
    <dataValidation type="list" allowBlank="1" sqref="H3 H4 H5 H6 H8 H9" xr:uid="{00000000-0002-0000-0900-000001000000}">
      <formula1>"KRİTİK,YÜKSEK,ORTA,DÜŞÜK"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456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457</v>
      </c>
      <c r="B3" s="7" t="s">
        <v>458</v>
      </c>
      <c r="C3" s="7" t="s">
        <v>123</v>
      </c>
      <c r="D3" s="7" t="s">
        <v>459</v>
      </c>
      <c r="E3" s="7" t="s">
        <v>460</v>
      </c>
      <c r="F3" s="7" t="s">
        <v>461</v>
      </c>
      <c r="G3" s="7" t="s">
        <v>462</v>
      </c>
      <c r="H3" s="7" t="s">
        <v>68</v>
      </c>
      <c r="I3" s="7"/>
      <c r="J3" s="7"/>
      <c r="K3" s="7"/>
      <c r="L3" s="7"/>
    </row>
    <row r="4" spans="1:12" ht="26" x14ac:dyDescent="0.35">
      <c r="A4" s="7" t="s">
        <v>463</v>
      </c>
      <c r="B4" s="7" t="s">
        <v>458</v>
      </c>
      <c r="C4" s="7" t="s">
        <v>286</v>
      </c>
      <c r="D4" s="7" t="s">
        <v>464</v>
      </c>
      <c r="E4" s="7" t="s">
        <v>465</v>
      </c>
      <c r="F4" s="7" t="s">
        <v>466</v>
      </c>
      <c r="G4" s="7" t="s">
        <v>467</v>
      </c>
      <c r="H4" s="7" t="s">
        <v>68</v>
      </c>
      <c r="I4" s="7"/>
      <c r="J4" s="7"/>
      <c r="K4" s="7"/>
      <c r="L4" s="7"/>
    </row>
    <row r="5" spans="1:12" ht="39" x14ac:dyDescent="0.35">
      <c r="A5" s="7" t="s">
        <v>468</v>
      </c>
      <c r="B5" s="7" t="s">
        <v>458</v>
      </c>
      <c r="C5" s="7" t="s">
        <v>469</v>
      </c>
      <c r="D5" s="7" t="s">
        <v>470</v>
      </c>
      <c r="E5" s="7" t="s">
        <v>471</v>
      </c>
      <c r="F5" s="7" t="s">
        <v>472</v>
      </c>
      <c r="G5" s="7" t="s">
        <v>473</v>
      </c>
      <c r="H5" s="7" t="s">
        <v>73</v>
      </c>
      <c r="I5" s="7"/>
      <c r="J5" s="7"/>
      <c r="K5" s="7"/>
      <c r="L5" s="7"/>
    </row>
    <row r="6" spans="1:12" ht="39" x14ac:dyDescent="0.35">
      <c r="A6" s="7" t="s">
        <v>474</v>
      </c>
      <c r="B6" s="7" t="s">
        <v>458</v>
      </c>
      <c r="C6" s="7" t="s">
        <v>135</v>
      </c>
      <c r="D6" s="7" t="s">
        <v>475</v>
      </c>
      <c r="E6" s="7" t="s">
        <v>65</v>
      </c>
      <c r="F6" s="7" t="s">
        <v>476</v>
      </c>
      <c r="G6" s="7" t="s">
        <v>477</v>
      </c>
      <c r="H6" s="7" t="s">
        <v>73</v>
      </c>
      <c r="I6" s="7"/>
      <c r="J6" s="7"/>
      <c r="K6" s="7"/>
      <c r="L6" s="7"/>
    </row>
  </sheetData>
  <autoFilter ref="A1:L6" xr:uid="{00000000-0009-0000-0000-00000A000000}"/>
  <mergeCells count="1">
    <mergeCell ref="A2:L2"/>
  </mergeCells>
  <dataValidations count="2">
    <dataValidation type="list" allowBlank="1" error="Lütfen geçerli bir sonuç seçin" prompt="Test sonucunu seçin" sqref="I3 I4 I5 I6" xr:uid="{00000000-0002-0000-0A00-000000000000}">
      <formula1>"BAŞARILI,BAŞARISIZ,ATLANMIŞ,TEST EDİLMEDİ"</formula1>
    </dataValidation>
    <dataValidation type="list" allowBlank="1" sqref="H3 H4 H5 H6" xr:uid="{00000000-0002-0000-0A00-000001000000}">
      <formula1>"KRİTİK,YÜKSEK,ORTA,DÜŞÜK"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478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479</v>
      </c>
      <c r="B3" s="7" t="s">
        <v>480</v>
      </c>
      <c r="C3" s="7" t="s">
        <v>481</v>
      </c>
      <c r="D3" s="7" t="s">
        <v>482</v>
      </c>
      <c r="E3" s="7" t="s">
        <v>483</v>
      </c>
      <c r="F3" s="7" t="s">
        <v>484</v>
      </c>
      <c r="G3" s="7" t="s">
        <v>485</v>
      </c>
      <c r="H3" s="7" t="s">
        <v>57</v>
      </c>
      <c r="I3" s="7"/>
      <c r="J3" s="7"/>
      <c r="K3" s="7"/>
      <c r="L3" s="7"/>
    </row>
    <row r="4" spans="1:12" ht="39" x14ac:dyDescent="0.35">
      <c r="A4" s="7" t="s">
        <v>486</v>
      </c>
      <c r="B4" s="7" t="s">
        <v>480</v>
      </c>
      <c r="C4" s="7" t="s">
        <v>481</v>
      </c>
      <c r="D4" s="7" t="s">
        <v>487</v>
      </c>
      <c r="E4" s="7" t="s">
        <v>488</v>
      </c>
      <c r="F4" s="7" t="s">
        <v>489</v>
      </c>
      <c r="G4" s="7" t="s">
        <v>490</v>
      </c>
      <c r="H4" s="7" t="s">
        <v>57</v>
      </c>
      <c r="I4" s="7"/>
      <c r="J4" s="7"/>
      <c r="K4" s="7"/>
      <c r="L4" s="7"/>
    </row>
    <row r="5" spans="1:12" x14ac:dyDescent="0.35">
      <c r="A5" s="7" t="s">
        <v>491</v>
      </c>
      <c r="B5" s="7" t="s">
        <v>480</v>
      </c>
      <c r="C5" s="7" t="s">
        <v>481</v>
      </c>
      <c r="D5" s="7" t="s">
        <v>492</v>
      </c>
      <c r="E5" s="7" t="s">
        <v>493</v>
      </c>
      <c r="F5" s="7" t="s">
        <v>494</v>
      </c>
      <c r="G5" s="7" t="s">
        <v>495</v>
      </c>
      <c r="H5" s="7" t="s">
        <v>68</v>
      </c>
      <c r="I5" s="7"/>
      <c r="J5" s="7"/>
      <c r="K5" s="7"/>
      <c r="L5" s="7"/>
    </row>
    <row r="6" spans="1:12" x14ac:dyDescent="0.35">
      <c r="A6" s="8" t="s">
        <v>496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9" x14ac:dyDescent="0.35">
      <c r="A7" s="7" t="s">
        <v>497</v>
      </c>
      <c r="B7" s="7" t="s">
        <v>480</v>
      </c>
      <c r="C7" s="7" t="s">
        <v>498</v>
      </c>
      <c r="D7" s="7" t="s">
        <v>499</v>
      </c>
      <c r="E7" s="7" t="s">
        <v>500</v>
      </c>
      <c r="F7" s="7" t="s">
        <v>501</v>
      </c>
      <c r="G7" s="7" t="s">
        <v>502</v>
      </c>
      <c r="H7" s="7" t="s">
        <v>57</v>
      </c>
      <c r="I7" s="7"/>
      <c r="J7" s="7"/>
      <c r="K7" s="7"/>
      <c r="L7" s="7"/>
    </row>
    <row r="8" spans="1:12" ht="26" x14ac:dyDescent="0.35">
      <c r="A8" s="7" t="s">
        <v>503</v>
      </c>
      <c r="B8" s="7" t="s">
        <v>480</v>
      </c>
      <c r="C8" s="7" t="s">
        <v>498</v>
      </c>
      <c r="D8" s="7" t="s">
        <v>504</v>
      </c>
      <c r="E8" s="7" t="s">
        <v>505</v>
      </c>
      <c r="F8" s="7" t="s">
        <v>506</v>
      </c>
      <c r="G8" s="7" t="s">
        <v>507</v>
      </c>
      <c r="H8" s="7" t="s">
        <v>57</v>
      </c>
      <c r="I8" s="7"/>
      <c r="J8" s="7"/>
      <c r="K8" s="7"/>
      <c r="L8" s="7"/>
    </row>
    <row r="9" spans="1:12" ht="26" x14ac:dyDescent="0.35">
      <c r="A9" s="7" t="s">
        <v>508</v>
      </c>
      <c r="B9" s="7" t="s">
        <v>480</v>
      </c>
      <c r="C9" s="7" t="s">
        <v>498</v>
      </c>
      <c r="D9" s="7" t="s">
        <v>509</v>
      </c>
      <c r="E9" s="7" t="s">
        <v>510</v>
      </c>
      <c r="F9" s="7" t="s">
        <v>511</v>
      </c>
      <c r="G9" s="7" t="s">
        <v>512</v>
      </c>
      <c r="H9" s="7" t="s">
        <v>68</v>
      </c>
      <c r="I9" s="7"/>
      <c r="J9" s="7"/>
      <c r="K9" s="7"/>
      <c r="L9" s="7"/>
    </row>
    <row r="10" spans="1:12" ht="26" x14ac:dyDescent="0.35">
      <c r="A10" s="7" t="s">
        <v>513</v>
      </c>
      <c r="B10" s="7" t="s">
        <v>480</v>
      </c>
      <c r="C10" s="7" t="s">
        <v>498</v>
      </c>
      <c r="D10" s="7" t="s">
        <v>514</v>
      </c>
      <c r="E10" s="7" t="s">
        <v>515</v>
      </c>
      <c r="F10" s="7" t="s">
        <v>516</v>
      </c>
      <c r="G10" s="7" t="s">
        <v>517</v>
      </c>
      <c r="H10" s="7" t="s">
        <v>68</v>
      </c>
      <c r="I10" s="7"/>
      <c r="J10" s="7"/>
      <c r="K10" s="7"/>
      <c r="L10" s="7"/>
    </row>
    <row r="11" spans="1:12" x14ac:dyDescent="0.35">
      <c r="A11" s="8" t="s">
        <v>518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1:12" ht="26" x14ac:dyDescent="0.35">
      <c r="A12" s="7" t="s">
        <v>519</v>
      </c>
      <c r="B12" s="7" t="s">
        <v>480</v>
      </c>
      <c r="C12" s="7" t="s">
        <v>183</v>
      </c>
      <c r="D12" s="7" t="s">
        <v>520</v>
      </c>
      <c r="E12" s="7" t="s">
        <v>521</v>
      </c>
      <c r="F12" s="7" t="s">
        <v>522</v>
      </c>
      <c r="G12" s="7" t="s">
        <v>523</v>
      </c>
      <c r="H12" s="7" t="s">
        <v>57</v>
      </c>
      <c r="I12" s="7"/>
      <c r="J12" s="7"/>
      <c r="K12" s="7"/>
      <c r="L12" s="7"/>
    </row>
    <row r="13" spans="1:12" x14ac:dyDescent="0.35">
      <c r="A13" s="8" t="s">
        <v>524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</row>
    <row r="14" spans="1:12" ht="26" x14ac:dyDescent="0.35">
      <c r="A14" s="7" t="s">
        <v>525</v>
      </c>
      <c r="B14" s="7" t="s">
        <v>480</v>
      </c>
      <c r="C14" s="7" t="s">
        <v>526</v>
      </c>
      <c r="D14" s="7" t="s">
        <v>527</v>
      </c>
      <c r="E14" s="7" t="s">
        <v>294</v>
      </c>
      <c r="F14" s="7" t="s">
        <v>528</v>
      </c>
      <c r="G14" s="7" t="s">
        <v>529</v>
      </c>
      <c r="H14" s="7" t="s">
        <v>57</v>
      </c>
      <c r="I14" s="7"/>
      <c r="J14" s="7"/>
      <c r="K14" s="7"/>
      <c r="L14" s="7"/>
    </row>
    <row r="15" spans="1:12" ht="26" x14ac:dyDescent="0.35">
      <c r="A15" s="7" t="s">
        <v>530</v>
      </c>
      <c r="B15" s="7" t="s">
        <v>480</v>
      </c>
      <c r="C15" s="7" t="s">
        <v>526</v>
      </c>
      <c r="D15" s="7" t="s">
        <v>531</v>
      </c>
      <c r="E15" s="7" t="s">
        <v>282</v>
      </c>
      <c r="F15" s="7" t="s">
        <v>532</v>
      </c>
      <c r="G15" s="7" t="s">
        <v>533</v>
      </c>
      <c r="H15" s="7" t="s">
        <v>68</v>
      </c>
      <c r="I15" s="7"/>
      <c r="J15" s="7"/>
      <c r="K15" s="7"/>
      <c r="L15" s="7"/>
    </row>
    <row r="16" spans="1:12" x14ac:dyDescent="0.35">
      <c r="A16" s="8" t="s">
        <v>534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ht="52" x14ac:dyDescent="0.35">
      <c r="A17" s="7" t="s">
        <v>535</v>
      </c>
      <c r="B17" s="7" t="s">
        <v>480</v>
      </c>
      <c r="C17" s="7" t="s">
        <v>536</v>
      </c>
      <c r="D17" s="7" t="s">
        <v>537</v>
      </c>
      <c r="E17" s="7" t="s">
        <v>538</v>
      </c>
      <c r="F17" s="7" t="s">
        <v>539</v>
      </c>
      <c r="G17" s="7" t="s">
        <v>540</v>
      </c>
      <c r="H17" s="7" t="s">
        <v>57</v>
      </c>
      <c r="I17" s="7"/>
      <c r="J17" s="7"/>
      <c r="K17" s="7"/>
      <c r="L17" s="7"/>
    </row>
    <row r="18" spans="1:12" ht="26" x14ac:dyDescent="0.35">
      <c r="A18" s="7" t="s">
        <v>541</v>
      </c>
      <c r="B18" s="7" t="s">
        <v>480</v>
      </c>
      <c r="C18" s="7" t="s">
        <v>536</v>
      </c>
      <c r="D18" s="7" t="s">
        <v>542</v>
      </c>
      <c r="E18" s="7" t="s">
        <v>543</v>
      </c>
      <c r="F18" s="7" t="s">
        <v>544</v>
      </c>
      <c r="G18" s="7" t="s">
        <v>545</v>
      </c>
      <c r="H18" s="7" t="s">
        <v>68</v>
      </c>
      <c r="I18" s="7"/>
      <c r="J18" s="7"/>
      <c r="K18" s="7"/>
      <c r="L18" s="7"/>
    </row>
    <row r="19" spans="1:12" x14ac:dyDescent="0.35">
      <c r="A19" s="8" t="s">
        <v>546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ht="39" x14ac:dyDescent="0.35">
      <c r="A20" s="7" t="s">
        <v>547</v>
      </c>
      <c r="B20" s="7" t="s">
        <v>480</v>
      </c>
      <c r="C20" s="7" t="s">
        <v>548</v>
      </c>
      <c r="D20" s="7" t="s">
        <v>549</v>
      </c>
      <c r="E20" s="7" t="s">
        <v>142</v>
      </c>
      <c r="F20" s="7" t="s">
        <v>550</v>
      </c>
      <c r="G20" s="7" t="s">
        <v>551</v>
      </c>
      <c r="H20" s="7" t="s">
        <v>57</v>
      </c>
      <c r="I20" s="7"/>
      <c r="J20" s="7"/>
      <c r="K20" s="7"/>
      <c r="L20" s="7"/>
    </row>
    <row r="21" spans="1:12" ht="52" x14ac:dyDescent="0.35">
      <c r="A21" s="7" t="s">
        <v>552</v>
      </c>
      <c r="B21" s="7" t="s">
        <v>480</v>
      </c>
      <c r="C21" s="7" t="s">
        <v>553</v>
      </c>
      <c r="D21" s="7" t="s">
        <v>554</v>
      </c>
      <c r="E21" s="7" t="s">
        <v>555</v>
      </c>
      <c r="F21" s="7" t="s">
        <v>556</v>
      </c>
      <c r="G21" s="7" t="s">
        <v>557</v>
      </c>
      <c r="H21" s="7" t="s">
        <v>57</v>
      </c>
      <c r="I21" s="7"/>
      <c r="J21" s="7"/>
      <c r="K21" s="7"/>
      <c r="L21" s="7"/>
    </row>
    <row r="22" spans="1:12" ht="39" x14ac:dyDescent="0.35">
      <c r="A22" s="7" t="s">
        <v>558</v>
      </c>
      <c r="B22" s="7" t="s">
        <v>480</v>
      </c>
      <c r="C22" s="7" t="s">
        <v>559</v>
      </c>
      <c r="D22" s="7" t="s">
        <v>560</v>
      </c>
      <c r="E22" s="7" t="s">
        <v>561</v>
      </c>
      <c r="F22" s="7" t="s">
        <v>562</v>
      </c>
      <c r="G22" s="7" t="s">
        <v>563</v>
      </c>
      <c r="H22" s="7" t="s">
        <v>57</v>
      </c>
      <c r="I22" s="7"/>
      <c r="J22" s="7"/>
      <c r="K22" s="7"/>
      <c r="L22" s="7"/>
    </row>
    <row r="23" spans="1:12" ht="65" x14ac:dyDescent="0.35">
      <c r="A23" s="7" t="s">
        <v>564</v>
      </c>
      <c r="B23" s="7" t="s">
        <v>480</v>
      </c>
      <c r="C23" s="7" t="s">
        <v>565</v>
      </c>
      <c r="D23" s="7" t="s">
        <v>566</v>
      </c>
      <c r="E23" s="7" t="s">
        <v>142</v>
      </c>
      <c r="F23" s="7" t="s">
        <v>567</v>
      </c>
      <c r="G23" s="7" t="s">
        <v>568</v>
      </c>
      <c r="H23" s="7" t="s">
        <v>68</v>
      </c>
      <c r="I23" s="7"/>
      <c r="J23" s="7"/>
      <c r="K23" s="7"/>
      <c r="L23" s="7"/>
    </row>
    <row r="24" spans="1:12" x14ac:dyDescent="0.35">
      <c r="A24" s="8" t="s">
        <v>569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ht="26" x14ac:dyDescent="0.35">
      <c r="A25" s="7" t="s">
        <v>570</v>
      </c>
      <c r="B25" s="7" t="s">
        <v>480</v>
      </c>
      <c r="C25" s="7" t="s">
        <v>571</v>
      </c>
      <c r="D25" s="7" t="s">
        <v>572</v>
      </c>
      <c r="E25" s="7" t="s">
        <v>573</v>
      </c>
      <c r="F25" s="7" t="s">
        <v>574</v>
      </c>
      <c r="G25" s="7" t="s">
        <v>575</v>
      </c>
      <c r="H25" s="7" t="s">
        <v>68</v>
      </c>
      <c r="I25" s="7"/>
      <c r="J25" s="7"/>
      <c r="K25" s="7"/>
      <c r="L25" s="7"/>
    </row>
    <row r="26" spans="1:12" ht="26" x14ac:dyDescent="0.35">
      <c r="A26" s="7" t="s">
        <v>576</v>
      </c>
      <c r="B26" s="7" t="s">
        <v>480</v>
      </c>
      <c r="C26" s="7" t="s">
        <v>577</v>
      </c>
      <c r="D26" s="7" t="s">
        <v>578</v>
      </c>
      <c r="E26" s="7" t="s">
        <v>573</v>
      </c>
      <c r="F26" s="7" t="s">
        <v>579</v>
      </c>
      <c r="G26" s="7" t="s">
        <v>580</v>
      </c>
      <c r="H26" s="7" t="s">
        <v>57</v>
      </c>
      <c r="I26" s="7"/>
      <c r="J26" s="7"/>
      <c r="K26" s="7"/>
      <c r="L26" s="7"/>
    </row>
  </sheetData>
  <autoFilter ref="A1:L26" xr:uid="{00000000-0009-0000-0000-00000B000000}"/>
  <mergeCells count="7">
    <mergeCell ref="A24:L24"/>
    <mergeCell ref="A2:L2"/>
    <mergeCell ref="A16:L16"/>
    <mergeCell ref="A19:L19"/>
    <mergeCell ref="A11:L11"/>
    <mergeCell ref="A13:L13"/>
    <mergeCell ref="A6:L6"/>
  </mergeCells>
  <dataValidations count="2">
    <dataValidation type="list" allowBlank="1" error="Lütfen geçerli bir sonuç seçin" prompt="Test sonucunu seçin" sqref="I3 I4 I5 I7 I8 I9 I10 I12 I14 I15 I17 I18 I20 I21 I22 I23 I25 I26" xr:uid="{00000000-0002-0000-0B00-000000000000}">
      <formula1>"BAŞARILI,BAŞARISIZ,ATLANMIŞ,TEST EDİLMEDİ"</formula1>
    </dataValidation>
    <dataValidation type="list" allowBlank="1" sqref="H3 H4 H5 H7 H8 H9 H10 H12 H14 H15 H17 H18 H20 H21 H22 H23 H25 H26" xr:uid="{00000000-0002-0000-0B00-000001000000}">
      <formula1>"KRİTİK,YÜKSEK,ORTA,DÜŞÜK"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50" customWidth="1"/>
    <col min="5" max="5" width="35" customWidth="1"/>
    <col min="6" max="6" width="55" customWidth="1"/>
    <col min="7" max="7" width="40" customWidth="1"/>
    <col min="8" max="8" width="10" customWidth="1"/>
    <col min="9" max="9" width="12" customWidth="1"/>
    <col min="10" max="10" width="30" customWidth="1"/>
    <col min="11" max="11" width="15" customWidth="1"/>
    <col min="12" max="12" width="13" customWidth="1"/>
  </cols>
  <sheetData>
    <row r="1" spans="1:12" x14ac:dyDescent="0.35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5">
      <c r="A2" s="8" t="s">
        <v>581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39" x14ac:dyDescent="0.35">
      <c r="A3" s="7" t="s">
        <v>582</v>
      </c>
      <c r="B3" s="7" t="s">
        <v>583</v>
      </c>
      <c r="C3" s="7" t="s">
        <v>584</v>
      </c>
      <c r="D3" s="7" t="s">
        <v>585</v>
      </c>
      <c r="E3" s="7" t="s">
        <v>586</v>
      </c>
      <c r="F3" s="7" t="s">
        <v>587</v>
      </c>
      <c r="G3" s="7" t="s">
        <v>588</v>
      </c>
      <c r="H3" s="7" t="s">
        <v>57</v>
      </c>
      <c r="I3" s="7"/>
      <c r="J3" s="7"/>
      <c r="K3" s="7"/>
      <c r="L3" s="7"/>
    </row>
    <row r="4" spans="1:12" ht="39" x14ac:dyDescent="0.35">
      <c r="A4" s="7" t="s">
        <v>589</v>
      </c>
      <c r="B4" s="7" t="s">
        <v>583</v>
      </c>
      <c r="C4" s="7" t="s">
        <v>590</v>
      </c>
      <c r="D4" s="7" t="s">
        <v>591</v>
      </c>
      <c r="E4" s="7" t="s">
        <v>592</v>
      </c>
      <c r="F4" s="7" t="s">
        <v>593</v>
      </c>
      <c r="G4" s="7" t="s">
        <v>594</v>
      </c>
      <c r="H4" s="7" t="s">
        <v>57</v>
      </c>
      <c r="I4" s="7"/>
      <c r="J4" s="7"/>
      <c r="K4" s="7"/>
      <c r="L4" s="7"/>
    </row>
    <row r="5" spans="1:12" ht="26" x14ac:dyDescent="0.35">
      <c r="A5" s="7" t="s">
        <v>595</v>
      </c>
      <c r="B5" s="7" t="s">
        <v>583</v>
      </c>
      <c r="C5" s="7" t="s">
        <v>596</v>
      </c>
      <c r="D5" s="7" t="s">
        <v>597</v>
      </c>
      <c r="E5" s="7" t="s">
        <v>598</v>
      </c>
      <c r="F5" s="7" t="s">
        <v>599</v>
      </c>
      <c r="G5" s="7" t="s">
        <v>600</v>
      </c>
      <c r="H5" s="7" t="s">
        <v>68</v>
      </c>
      <c r="I5" s="7"/>
      <c r="J5" s="7"/>
      <c r="K5" s="7"/>
      <c r="L5" s="7"/>
    </row>
    <row r="6" spans="1:12" x14ac:dyDescent="0.35">
      <c r="A6" s="8" t="s">
        <v>601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26" x14ac:dyDescent="0.35">
      <c r="A7" s="7" t="s">
        <v>602</v>
      </c>
      <c r="B7" s="7" t="s">
        <v>603</v>
      </c>
      <c r="C7" s="7" t="s">
        <v>604</v>
      </c>
      <c r="D7" s="7" t="s">
        <v>605</v>
      </c>
      <c r="E7" s="7" t="s">
        <v>606</v>
      </c>
      <c r="F7" s="7" t="s">
        <v>607</v>
      </c>
      <c r="G7" s="7" t="s">
        <v>608</v>
      </c>
      <c r="H7" s="7" t="s">
        <v>68</v>
      </c>
      <c r="I7" s="7"/>
      <c r="J7" s="7"/>
      <c r="K7" s="7"/>
      <c r="L7" s="7"/>
    </row>
    <row r="8" spans="1:12" ht="39" x14ac:dyDescent="0.35">
      <c r="A8" s="7" t="s">
        <v>609</v>
      </c>
      <c r="B8" s="7" t="s">
        <v>603</v>
      </c>
      <c r="C8" s="7" t="s">
        <v>604</v>
      </c>
      <c r="D8" s="7" t="s">
        <v>610</v>
      </c>
      <c r="E8" s="7" t="s">
        <v>611</v>
      </c>
      <c r="F8" s="7" t="s">
        <v>612</v>
      </c>
      <c r="G8" s="7" t="s">
        <v>613</v>
      </c>
      <c r="H8" s="7" t="s">
        <v>68</v>
      </c>
      <c r="I8" s="7"/>
      <c r="J8" s="7"/>
      <c r="K8" s="7"/>
      <c r="L8" s="7"/>
    </row>
    <row r="9" spans="1:12" x14ac:dyDescent="0.35">
      <c r="A9" s="8" t="s">
        <v>614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9" x14ac:dyDescent="0.35">
      <c r="A10" s="7" t="s">
        <v>615</v>
      </c>
      <c r="B10" s="7" t="s">
        <v>603</v>
      </c>
      <c r="C10" s="7" t="s">
        <v>616</v>
      </c>
      <c r="D10" s="7" t="s">
        <v>617</v>
      </c>
      <c r="E10" s="7" t="s">
        <v>65</v>
      </c>
      <c r="F10" s="7" t="s">
        <v>618</v>
      </c>
      <c r="G10" s="7" t="s">
        <v>619</v>
      </c>
      <c r="H10" s="7" t="s">
        <v>57</v>
      </c>
      <c r="I10" s="7"/>
      <c r="J10" s="7"/>
      <c r="K10" s="7"/>
      <c r="L10" s="7"/>
    </row>
    <row r="11" spans="1:12" ht="52" x14ac:dyDescent="0.35">
      <c r="A11" s="7" t="s">
        <v>620</v>
      </c>
      <c r="B11" s="7" t="s">
        <v>603</v>
      </c>
      <c r="C11" s="7" t="s">
        <v>616</v>
      </c>
      <c r="D11" s="7" t="s">
        <v>621</v>
      </c>
      <c r="E11" s="7" t="s">
        <v>622</v>
      </c>
      <c r="F11" s="7" t="s">
        <v>623</v>
      </c>
      <c r="G11" s="7" t="s">
        <v>624</v>
      </c>
      <c r="H11" s="7" t="s">
        <v>57</v>
      </c>
      <c r="I11" s="7"/>
      <c r="J11" s="7"/>
      <c r="K11" s="7"/>
      <c r="L11" s="7"/>
    </row>
    <row r="12" spans="1:12" x14ac:dyDescent="0.35">
      <c r="A12" s="8" t="s">
        <v>625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spans="1:12" ht="39" x14ac:dyDescent="0.35">
      <c r="A13" s="7" t="s">
        <v>626</v>
      </c>
      <c r="B13" s="7" t="s">
        <v>603</v>
      </c>
      <c r="C13" s="7" t="s">
        <v>627</v>
      </c>
      <c r="D13" s="7" t="s">
        <v>628</v>
      </c>
      <c r="E13" s="7" t="s">
        <v>629</v>
      </c>
      <c r="F13" s="7" t="s">
        <v>630</v>
      </c>
      <c r="G13" s="7" t="s">
        <v>631</v>
      </c>
      <c r="H13" s="7" t="s">
        <v>68</v>
      </c>
      <c r="I13" s="7"/>
      <c r="J13" s="7"/>
      <c r="K13" s="7"/>
      <c r="L13" s="7"/>
    </row>
    <row r="14" spans="1:12" ht="39" x14ac:dyDescent="0.35">
      <c r="A14" s="7" t="s">
        <v>632</v>
      </c>
      <c r="B14" s="7" t="s">
        <v>603</v>
      </c>
      <c r="C14" s="7" t="s">
        <v>633</v>
      </c>
      <c r="D14" s="7" t="s">
        <v>634</v>
      </c>
      <c r="E14" s="7" t="s">
        <v>635</v>
      </c>
      <c r="F14" s="7" t="s">
        <v>636</v>
      </c>
      <c r="G14" s="7" t="s">
        <v>637</v>
      </c>
      <c r="H14" s="7" t="s">
        <v>57</v>
      </c>
      <c r="I14" s="7"/>
      <c r="J14" s="7"/>
      <c r="K14" s="7"/>
      <c r="L14" s="7"/>
    </row>
    <row r="15" spans="1:12" ht="39" x14ac:dyDescent="0.35">
      <c r="A15" s="7" t="s">
        <v>638</v>
      </c>
      <c r="B15" s="7" t="s">
        <v>603</v>
      </c>
      <c r="C15" s="7" t="s">
        <v>639</v>
      </c>
      <c r="D15" s="7" t="s">
        <v>640</v>
      </c>
      <c r="E15" s="7" t="s">
        <v>641</v>
      </c>
      <c r="F15" s="7" t="s">
        <v>642</v>
      </c>
      <c r="G15" s="7" t="s">
        <v>643</v>
      </c>
      <c r="H15" s="7" t="s">
        <v>57</v>
      </c>
      <c r="I15" s="7"/>
      <c r="J15" s="7"/>
      <c r="K15" s="7"/>
      <c r="L15" s="7"/>
    </row>
  </sheetData>
  <autoFilter ref="A1:L15" xr:uid="{00000000-0009-0000-0000-00000C000000}"/>
  <mergeCells count="4">
    <mergeCell ref="A2:L2"/>
    <mergeCell ref="A6:L6"/>
    <mergeCell ref="A12:L12"/>
    <mergeCell ref="A9:L9"/>
  </mergeCells>
  <dataValidations count="2">
    <dataValidation type="list" allowBlank="1" error="Lütfen geçerli bir sonuç seçin" prompt="Test sonucunu seçin" sqref="I3 I4 I5 I7 I8 I10 I11 I13 I14 I15" xr:uid="{00000000-0002-0000-0C00-000000000000}">
      <formula1>"BAŞARILI,BAŞARISIZ,ATLANMIŞ,TEST EDİLMEDİ"</formula1>
    </dataValidation>
    <dataValidation type="list" allowBlank="1" sqref="H3 H4 H5 H7 H8 H10 H11 H13 H14 H15" xr:uid="{00000000-0002-0000-0C00-000001000000}">
      <formula1>"KRİTİK,YÜKSEK,ORTA,DÜŞÜK"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ÖZET</vt:lpstr>
      <vt:lpstr>1-Auth &amp; Security</vt:lpstr>
      <vt:lpstr>2-Asset Management</vt:lpstr>
      <vt:lpstr>3-Telemetry</vt:lpstr>
      <vt:lpstr>4-Tactical Zones</vt:lpstr>
      <vt:lpstr>5-Tasks &amp; Deploy</vt:lpstr>
      <vt:lpstr>6-Alerts &amp; Analysis</vt:lpstr>
      <vt:lpstr>7-AI Service</vt:lpstr>
      <vt:lpstr>8-Chat Sessions</vt:lpstr>
      <vt:lpstr>9-Admin Panel</vt:lpstr>
      <vt:lpstr>10-System Logs</vt:lpstr>
      <vt:lpstr>11-Frontend UI</vt:lpstr>
      <vt:lpstr>12-Sim &amp;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Can Barçin</cp:lastModifiedBy>
  <dcterms:created xsi:type="dcterms:W3CDTF">2026-04-10T08:04:06Z</dcterms:created>
  <dcterms:modified xsi:type="dcterms:W3CDTF">2026-04-10T08:06:32Z</dcterms:modified>
</cp:coreProperties>
</file>